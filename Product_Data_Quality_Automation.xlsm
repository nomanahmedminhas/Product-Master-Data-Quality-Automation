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oman\Downloads\"/>
    </mc:Choice>
  </mc:AlternateContent>
  <bookViews>
    <workbookView xWindow="0" yWindow="0" windowWidth="23040" windowHeight="10704" tabRatio="717"/>
  </bookViews>
  <sheets>
    <sheet name="Dashboard" sheetId="8" r:id="rId1"/>
    <sheet name="Clean Master Data" sheetId="5" r:id="rId2"/>
    <sheet name="Review Queue" sheetId="7" r:id="rId3"/>
    <sheet name="Exception Log" sheetId="6" r:id="rId4"/>
    <sheet name="Raw Product Data" sheetId="2" r:id="rId5"/>
    <sheet name="YOUR PRACTICE" sheetId="3" r:id="rId6"/>
    <sheet name="START HERE" sheetId="1" r:id="rId7"/>
    <sheet name="ANSWER KEY" sheetId="4" r:id="rId8"/>
  </sheets>
  <definedNames>
    <definedName name="_xlnm._FilterDatabase" localSheetId="2" hidden="1">'Review Queue'!$A$1:$E$5</definedName>
    <definedName name="_xlnm._FilterDatabase" localSheetId="5" hidden="1">'YOUR PRACTICE'!$A$1:$J$1</definedName>
  </definedNames>
  <calcPr calcId="152511"/>
</workbook>
</file>

<file path=xl/calcChain.xml><?xml version="1.0" encoding="utf-8"?>
<calcChain xmlns="http://schemas.openxmlformats.org/spreadsheetml/2006/main">
  <c r="C17" i="8" l="1"/>
  <c r="C16" i="8"/>
  <c r="H11" i="8"/>
  <c r="E11" i="8"/>
  <c r="B11" i="8"/>
  <c r="H7" i="8"/>
  <c r="E7" i="8"/>
  <c r="B7" i="8"/>
  <c r="I4" i="6"/>
  <c r="I3" i="6"/>
  <c r="I2" i="6"/>
  <c r="C20" i="8" l="1"/>
  <c r="AA6" i="3"/>
  <c r="AA5" i="3"/>
  <c r="AA4" i="3"/>
  <c r="AA3" i="3"/>
  <c r="Z6" i="3"/>
  <c r="Z5" i="3"/>
  <c r="Z4" i="3"/>
  <c r="Z3" i="3"/>
  <c r="Z2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2" i="3"/>
  <c r="V3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2" i="3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2" i="3"/>
</calcChain>
</file>

<file path=xl/sharedStrings.xml><?xml version="1.0" encoding="utf-8"?>
<sst xmlns="http://schemas.openxmlformats.org/spreadsheetml/2006/main" count="658" uniqueCount="207">
  <si>
    <t>PRODUCT CATALOG CLEANUP — BEGINNER TRAINING PROJECT</t>
  </si>
  <si>
    <t>Purpose</t>
  </si>
  <si>
    <t>Learn how to inspect, clean, standardize, and quality-check product data in Excel.</t>
  </si>
  <si>
    <t>Important</t>
  </si>
  <si>
    <t>The Raw Product Data sheet intentionally contains errors. Do NOT edit that sheet.</t>
  </si>
  <si>
    <t>Your work</t>
  </si>
  <si>
    <t>Use the YOUR PRACTICE sheet. Start by copying the raw records there, then clean them step by step.</t>
  </si>
  <si>
    <t>Answer key</t>
  </si>
  <si>
    <t>Do not open ANSWER KEY until you have attempted the exercise. It shows one reasonable cleaned result.</t>
  </si>
  <si>
    <t>Portfolio use</t>
  </si>
  <si>
    <t>This is fictional demonstration data. When finished, you may use your completed version as a portfolio sample.</t>
  </si>
  <si>
    <t>TRAINING TASKS</t>
  </si>
  <si>
    <t>WHAT TO LOOK FOR</t>
  </si>
  <si>
    <t>1. Duplicate SKU</t>
  </si>
  <si>
    <t>Find records that represent the same SKU but use different capitalization.</t>
  </si>
  <si>
    <t>2. Extra spaces</t>
  </si>
  <si>
    <t>Look for leading/trailing spaces in text fields.</t>
  </si>
  <si>
    <t>3. Inconsistent categories</t>
  </si>
  <si>
    <t>Example: Electronics vs electronic; Office vs office.</t>
  </si>
  <si>
    <t>4. Inconsistent text</t>
  </si>
  <si>
    <t>Look for capitalization or naming differences in product/color/supplier fields.</t>
  </si>
  <si>
    <t>5. Missing values</t>
  </si>
  <si>
    <t>Find missing Color, Price, or Status values.</t>
  </si>
  <si>
    <t>6. Similar product names</t>
  </si>
  <si>
    <t>Decide when a name can safely be standardized and when it should remain distinct.</t>
  </si>
  <si>
    <t>7. Review vs guess</t>
  </si>
  <si>
    <t>Never invent a missing business value. Flag uncertain records for review.</t>
  </si>
  <si>
    <t>SKU</t>
  </si>
  <si>
    <t>Product Name</t>
  </si>
  <si>
    <t>Category</t>
  </si>
  <si>
    <t>Color</t>
  </si>
  <si>
    <t>Supplier</t>
  </si>
  <si>
    <t>Unit Price</t>
  </si>
  <si>
    <t>Status</t>
  </si>
  <si>
    <t>SKU-001</t>
  </si>
  <si>
    <t>Wireless Mouse</t>
  </si>
  <si>
    <t>Electronics</t>
  </si>
  <si>
    <t>Black</t>
  </si>
  <si>
    <t>ACME</t>
  </si>
  <si>
    <t>Active</t>
  </si>
  <si>
    <t>sku-001</t>
  </si>
  <si>
    <t>Wireless mouse</t>
  </si>
  <si>
    <t>electronic</t>
  </si>
  <si>
    <t>black</t>
  </si>
  <si>
    <t>Acme</t>
  </si>
  <si>
    <t>SKU-002</t>
  </si>
  <si>
    <t>USB-C Hub</t>
  </si>
  <si>
    <t>Silver</t>
  </si>
  <si>
    <t>Northstar</t>
  </si>
  <si>
    <t>SKU-003</t>
  </si>
  <si>
    <t>Notebook A5</t>
  </si>
  <si>
    <t>Office</t>
  </si>
  <si>
    <t>Blue</t>
  </si>
  <si>
    <t>Paper Co.</t>
  </si>
  <si>
    <t>active</t>
  </si>
  <si>
    <t>SKU-004</t>
  </si>
  <si>
    <t>Desk Lamp</t>
  </si>
  <si>
    <t>Home</t>
  </si>
  <si>
    <t>White</t>
  </si>
  <si>
    <t>Bright Co</t>
  </si>
  <si>
    <t>SKU-005</t>
  </si>
  <si>
    <t>USB C Hub</t>
  </si>
  <si>
    <t>Electronic</t>
  </si>
  <si>
    <t>Grey</t>
  </si>
  <si>
    <t>SKU-006</t>
  </si>
  <si>
    <t>Laptop Stand</t>
  </si>
  <si>
    <t>Lift Lab</t>
  </si>
  <si>
    <t>SKU-007</t>
  </si>
  <si>
    <t>Desk Organizer</t>
  </si>
  <si>
    <t>office</t>
  </si>
  <si>
    <t>Discontinued</t>
  </si>
  <si>
    <t>SKU-008</t>
  </si>
  <si>
    <t>LED Lamp</t>
  </si>
  <si>
    <t>SKU-009</t>
  </si>
  <si>
    <t>Notebook A4</t>
  </si>
  <si>
    <t>Green</t>
  </si>
  <si>
    <t>SKU-010</t>
  </si>
  <si>
    <t>Webcam HD</t>
  </si>
  <si>
    <t>electronics</t>
  </si>
  <si>
    <t>BLACK</t>
  </si>
  <si>
    <t>VisionTek</t>
  </si>
  <si>
    <t>ACTIVE</t>
  </si>
  <si>
    <t>SKU-011</t>
  </si>
  <si>
    <t>Keyboard Wireless</t>
  </si>
  <si>
    <t>SKU-012</t>
  </si>
  <si>
    <t>File Folder 10pk</t>
  </si>
  <si>
    <t>blue</t>
  </si>
  <si>
    <t>SKU-013</t>
  </si>
  <si>
    <t>Desk Lamp Mini</t>
  </si>
  <si>
    <t>home</t>
  </si>
  <si>
    <t>SKU-014</t>
  </si>
  <si>
    <t>HDMI Cable 2m</t>
  </si>
  <si>
    <t>NorthStar</t>
  </si>
  <si>
    <t>Issue Found</t>
  </si>
  <si>
    <t>Action Taken</t>
  </si>
  <si>
    <t>QC Status</t>
  </si>
  <si>
    <t>QUALITY CHECK</t>
  </si>
  <si>
    <t>RESULT</t>
  </si>
  <si>
    <t>Duplicate SKU / inconsistent text</t>
  </si>
  <si>
    <t>Merged duplicate representation; standardized text</t>
  </si>
  <si>
    <t>Clean</t>
  </si>
  <si>
    <t>Cleaned unique SKUs</t>
  </si>
  <si>
    <t>None</t>
  </si>
  <si>
    <t>No change</t>
  </si>
  <si>
    <t>Needs Review</t>
  </si>
  <si>
    <t>Status capitalization</t>
  </si>
  <si>
    <t>Standardized status</t>
  </si>
  <si>
    <t>Duplicate raw record removed</t>
  </si>
  <si>
    <t>Review</t>
  </si>
  <si>
    <t>Missing status</t>
  </si>
  <si>
    <t>Did not guess; flagged for review</t>
  </si>
  <si>
    <t>Rule</t>
  </si>
  <si>
    <t>Do not invent missing values</t>
  </si>
  <si>
    <t>Category/name formatting</t>
  </si>
  <si>
    <t>Standardized category and product name</t>
  </si>
  <si>
    <t>Missing color</t>
  </si>
  <si>
    <t>Category capitalization</t>
  </si>
  <si>
    <t>Standardized category</t>
  </si>
  <si>
    <t>Missing price</t>
  </si>
  <si>
    <t>Spaces/capitalization</t>
  </si>
  <si>
    <t>Trimmed and standardized text</t>
  </si>
  <si>
    <t>Supplier capitalization</t>
  </si>
  <si>
    <t>Standardized supplier</t>
  </si>
  <si>
    <t>Color capitalization</t>
  </si>
  <si>
    <t>Standardized color</t>
  </si>
  <si>
    <t>Category/status capitalization</t>
  </si>
  <si>
    <t>Standardized text</t>
  </si>
  <si>
    <t>Supplier spelling/capitalization</t>
  </si>
  <si>
    <t>Duplicate SKU / Inconsistant formatting</t>
  </si>
  <si>
    <t>Standardized product data and reviewed duplicate</t>
  </si>
  <si>
    <t>Duplicate of SKU-001</t>
  </si>
  <si>
    <t>Standard Category</t>
  </si>
  <si>
    <t>Category Check</t>
  </si>
  <si>
    <t>S – Raw Supplier</t>
  </si>
  <si>
    <t>T – Standard Supplier</t>
  </si>
  <si>
    <t>Standard Supplier</t>
  </si>
  <si>
    <t>Supplier Check</t>
  </si>
  <si>
    <t>Status Check</t>
  </si>
  <si>
    <t>Final QC Status</t>
  </si>
  <si>
    <t>QC SUMMARY</t>
  </si>
  <si>
    <t>COUNT</t>
  </si>
  <si>
    <t>Total Records</t>
  </si>
  <si>
    <t>Review - Duplicate</t>
  </si>
  <si>
    <t>Review - Missing Data</t>
  </si>
  <si>
    <t>Review - Standardization</t>
  </si>
  <si>
    <t>PERCENTAGE</t>
  </si>
  <si>
    <t>Original Row</t>
  </si>
  <si>
    <t>Field</t>
  </si>
  <si>
    <t>Resolution Status</t>
  </si>
  <si>
    <t>Duplicate record</t>
  </si>
  <si>
    <t>Resolved</t>
  </si>
  <si>
    <t>Awaiting source verification</t>
  </si>
  <si>
    <t>Pending</t>
  </si>
  <si>
    <t>Exception Summary</t>
  </si>
  <si>
    <t>Count</t>
  </si>
  <si>
    <t>Total Exceptions</t>
  </si>
  <si>
    <t>Source Row</t>
  </si>
  <si>
    <t>Issue Type</t>
  </si>
  <si>
    <t>Details</t>
  </si>
  <si>
    <t>Review Status</t>
  </si>
  <si>
    <t>Duplicate SKU</t>
  </si>
  <si>
    <t>Identical standardized record</t>
  </si>
  <si>
    <t>Duplicate - Auto Removed</t>
  </si>
  <si>
    <t>Master Row 5</t>
  </si>
  <si>
    <t>Missing Data</t>
  </si>
  <si>
    <t>Missing field: Status</t>
  </si>
  <si>
    <t>Pending Verification</t>
  </si>
  <si>
    <t>Master Row 7</t>
  </si>
  <si>
    <t>Missing field: Color</t>
  </si>
  <si>
    <t>Master Row 10</t>
  </si>
  <si>
    <t>Missing field: Unit Price</t>
  </si>
  <si>
    <t>Inconsistent value: ACME</t>
  </si>
  <si>
    <t>Standardized to: Acme</t>
  </si>
  <si>
    <t>Inconsistent value: sku-001</t>
  </si>
  <si>
    <t>Standardized to: SKU-001</t>
  </si>
  <si>
    <t>Inconsistent value: electronic</t>
  </si>
  <si>
    <t>Standardized to: Electronics</t>
  </si>
  <si>
    <t>Inconsistent value: black</t>
  </si>
  <si>
    <t>Standardized to: Black</t>
  </si>
  <si>
    <t>Inconsistent value: active</t>
  </si>
  <si>
    <t>Standardized to: Active</t>
  </si>
  <si>
    <t>Inconsistent value: USB C Hub</t>
  </si>
  <si>
    <t>Standardized to: USB-C Hub</t>
  </si>
  <si>
    <t>Inconsistent value: Electronic</t>
  </si>
  <si>
    <t>Inconsistent value: office</t>
  </si>
  <si>
    <t>Standardized to: Office</t>
  </si>
  <si>
    <t>Inconsistent value: electronics</t>
  </si>
  <si>
    <t>Inconsistent value: BLACK</t>
  </si>
  <si>
    <t>Inconsistent value: ACTIVE</t>
  </si>
  <si>
    <t>Inconsistent value: blue</t>
  </si>
  <si>
    <t>Standardized to: Blue</t>
  </si>
  <si>
    <t>Inconsistent value: home</t>
  </si>
  <si>
    <t>Standardized to: Home</t>
  </si>
  <si>
    <t>Inconsistent value: NorthStar</t>
  </si>
  <si>
    <t>Standardized to: Northstar</t>
  </si>
  <si>
    <t>PRODUCT MASTER DATA QUALITY DASHBOARD</t>
  </si>
  <si>
    <t>Automated Data Cleansing | Master Data Governance | Exception Management</t>
  </si>
  <si>
    <t>Raw Records</t>
  </si>
  <si>
    <t>Unique Products</t>
  </si>
  <si>
    <t>Duplicate Records</t>
  </si>
  <si>
    <t>Exception Status</t>
  </si>
  <si>
    <t>Exception Resolution Rate</t>
  </si>
  <si>
    <t>Clean Master Data</t>
  </si>
  <si>
    <t>Review Queue</t>
  </si>
  <si>
    <t>Exception Log</t>
  </si>
  <si>
    <t>Raw Product Data</t>
  </si>
  <si>
    <t>← Back to 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</si>
</sst>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\$#,##0.00"/>
    <numFmt numFmtId="165" formatCode="0.0%"/>
  </numFmts>
  <fonts count="14">
    <font>
      <sz val="11"/>
      <name val="Carlito"/>
    </font>
    <font>
      <b/>
      <sz val="14"/>
      <color rgb="FFFFFFFF"/>
      <name val="Carlito"/>
    </font>
    <font>
      <b/>
      <sz val="11"/>
      <name val="Carlito"/>
    </font>
    <font>
      <b/>
      <sz val="11"/>
      <color rgb="FFFFFFFF"/>
      <name val="Carlito"/>
    </font>
    <font>
      <sz val="11"/>
      <name val="Carlito"/>
    </font>
    <font>
      <b/>
      <sz val="10"/>
      <name val="Arial Unicode MS"/>
      <family val="2"/>
    </font>
    <font>
      <b/>
      <sz val="11"/>
      <color theme="0"/>
      <name val="Calibri"/>
      <family val="2"/>
      <scheme val="minor"/>
    </font>
    <font>
      <b/>
      <sz val="11"/>
      <color theme="0"/>
      <name val="Carlito"/>
    </font>
    <font>
      <u/>
      <sz val="11"/>
      <color theme="10"/>
      <name val="Carlito"/>
    </font>
    <font>
      <b/>
      <sz val="18"/>
      <color theme="0"/>
      <name val="Carlito"/>
    </font>
    <font>
      <sz val="11"/>
      <color theme="0" tint="-0.499984740745262"/>
      <name val="Carlito"/>
    </font>
    <font>
      <b/>
      <sz val="10"/>
      <name val="Carlito"/>
    </font>
    <font>
      <b/>
      <sz val="22"/>
      <name val="Carlito"/>
    </font>
    <font>
      <b/>
      <u/>
      <sz val="11"/>
      <color rgb="FF002060"/>
      <name val="Carlito"/>
    </font>
  </fonts>
  <fills count="11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9C0006"/>
      </patternFill>
    </fill>
    <fill>
      <patternFill patternType="solid">
        <fgColor rgb="FF548235"/>
      </patternFill>
    </fill>
    <fill>
      <patternFill patternType="solid">
        <fgColor rgb="FFFFF2CC"/>
      </patternFill>
    </fill>
    <fill>
      <patternFill patternType="solid">
        <fgColor rgb="FF1F4E78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47">
    <xf numFmtId="0" fontId="0" fillId="0" borderId="0" xfId="0"/>
    <xf numFmtId="0" fontId="2" fillId="3" borderId="0" xfId="0" applyNumberFormat="1" applyFont="1" applyFill="1" applyBorder="1"/>
    <xf numFmtId="0" fontId="0" fillId="0" borderId="0" xfId="0" applyNumberFormat="1" applyFont="1" applyFill="1" applyBorder="1" applyAlignment="1">
      <alignment wrapText="1"/>
    </xf>
    <xf numFmtId="0" fontId="3" fillId="2" borderId="0" xfId="0" applyNumberFormat="1" applyFont="1" applyFill="1" applyBorder="1"/>
    <xf numFmtId="0" fontId="2" fillId="0" borderId="0" xfId="0" applyNumberFormat="1" applyFont="1" applyFill="1" applyBorder="1"/>
    <xf numFmtId="0" fontId="3" fillId="4" borderId="0" xfId="0" applyNumberFormat="1" applyFont="1" applyFill="1" applyBorder="1"/>
    <xf numFmtId="164" fontId="0" fillId="0" borderId="0" xfId="0" applyNumberFormat="1" applyFont="1" applyFill="1" applyBorder="1"/>
    <xf numFmtId="0" fontId="3" fillId="5" borderId="0" xfId="0" applyNumberFormat="1" applyFont="1" applyFill="1" applyBorder="1" applyAlignment="1">
      <alignment wrapText="1"/>
    </xf>
    <xf numFmtId="0" fontId="0" fillId="6" borderId="0" xfId="0" applyNumberFormat="1" applyFont="1" applyFill="1" applyBorder="1" applyAlignment="1">
      <alignment wrapText="1"/>
    </xf>
    <xf numFmtId="0" fontId="3" fillId="7" borderId="0" xfId="0" applyNumberFormat="1" applyFont="1" applyFill="1" applyBorder="1"/>
    <xf numFmtId="0" fontId="3" fillId="7" borderId="0" xfId="0" applyNumberFormat="1" applyFont="1" applyFill="1" applyBorder="1" applyAlignment="1">
      <alignment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 applyAlignment="1">
      <alignment wrapText="1"/>
    </xf>
    <xf numFmtId="165" fontId="0" fillId="0" borderId="0" xfId="1" applyNumberFormat="1" applyFont="1"/>
    <xf numFmtId="0" fontId="1" fillId="2" borderId="0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4" fontId="0" fillId="0" borderId="0" xfId="0" applyNumberFormat="1" applyAlignment="1">
      <alignment horizontal="left"/>
    </xf>
    <xf numFmtId="4" fontId="3" fillId="4" borderId="0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0" fontId="9" fillId="8" borderId="0" xfId="0" applyFont="1" applyFill="1" applyAlignment="1">
      <alignment horizontal="center" vertical="center"/>
    </xf>
    <xf numFmtId="0" fontId="10" fillId="0" borderId="0" xfId="0" applyFont="1"/>
    <xf numFmtId="0" fontId="11" fillId="9" borderId="1" xfId="0" applyFont="1" applyFill="1" applyBorder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1" fillId="9" borderId="3" xfId="0" applyFont="1" applyFill="1" applyBorder="1" applyAlignment="1">
      <alignment horizontal="center" vertical="center"/>
    </xf>
    <xf numFmtId="0" fontId="12" fillId="9" borderId="4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12" fillId="9" borderId="6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/>
    </xf>
    <xf numFmtId="0" fontId="11" fillId="9" borderId="2" xfId="0" applyFont="1" applyFill="1" applyBorder="1" applyAlignment="1">
      <alignment horizontal="center"/>
    </xf>
    <xf numFmtId="0" fontId="11" fillId="9" borderId="3" xfId="0" applyFont="1" applyFill="1" applyBorder="1" applyAlignment="1">
      <alignment horizontal="center"/>
    </xf>
    <xf numFmtId="0" fontId="12" fillId="9" borderId="4" xfId="0" applyFont="1" applyFill="1" applyBorder="1" applyAlignment="1">
      <alignment horizontal="center"/>
    </xf>
    <xf numFmtId="0" fontId="12" fillId="9" borderId="5" xfId="0" applyFont="1" applyFill="1" applyBorder="1" applyAlignment="1">
      <alignment horizontal="center"/>
    </xf>
    <xf numFmtId="0" fontId="12" fillId="9" borderId="6" xfId="0" applyFont="1" applyFill="1" applyBorder="1" applyAlignment="1">
      <alignment horizontal="center"/>
    </xf>
    <xf numFmtId="0" fontId="5" fillId="0" borderId="0" xfId="0" applyFont="1"/>
    <xf numFmtId="165" fontId="0" fillId="0" borderId="0" xfId="0" applyNumberFormat="1" applyAlignment="1">
      <alignment horizontal="center"/>
    </xf>
    <xf numFmtId="0" fontId="6" fillId="8" borderId="0" xfId="0" applyFont="1" applyFill="1" applyAlignment="1">
      <alignment vertical="center" wrapText="1"/>
    </xf>
    <xf numFmtId="0" fontId="6" fillId="8" borderId="0" xfId="0" applyFont="1" applyFill="1" applyAlignment="1">
      <alignment horizontal="left" vertical="center" wrapText="1"/>
    </xf>
    <xf numFmtId="0" fontId="0" fillId="9" borderId="0" xfId="0" applyFill="1"/>
    <xf numFmtId="0" fontId="7" fillId="8" borderId="0" xfId="0" applyFont="1" applyFill="1" applyAlignment="1">
      <alignment vertical="center" wrapText="1"/>
    </xf>
    <xf numFmtId="0" fontId="6" fillId="8" borderId="0" xfId="0" applyFont="1" applyFill="1"/>
    <xf numFmtId="0" fontId="6" fillId="8" borderId="0" xfId="0" applyFont="1" applyFill="1" applyAlignment="1">
      <alignment horizontal="left"/>
    </xf>
    <xf numFmtId="0" fontId="13" fillId="10" borderId="0" xfId="2" applyFont="1" applyFill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2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numFmt numFmtId="0" formatCode="General"/>
      <fill>
        <patternFill patternType="solid">
          <fgColor indexed="64"/>
          <bgColor rgb="FF9C0006"/>
        </patternFill>
      </fill>
    </dxf>
    <dxf>
      <numFmt numFmtId="4" formatCode="#,##0.00"/>
      <alignment horizontal="left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rgb="FFFFCD2D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D13F"/>
        </patternFill>
      </fill>
    </dxf>
    <dxf>
      <fill>
        <patternFill>
          <bgColor rgb="FFFFD347"/>
        </patternFill>
      </fill>
    </dxf>
    <dxf>
      <fill>
        <patternFill>
          <bgColor theme="9" tint="0.59996337778862885"/>
        </patternFill>
      </fill>
    </dxf>
    <dxf>
      <fill>
        <patternFill>
          <bgColor rgb="FFFFD44B"/>
        </patternFill>
      </fill>
    </dxf>
  </dxfs>
  <tableStyles count="0" defaultTableStyle="TableStyleMedium2" defaultPivotStyle="PivotStyleLight16"/>
  <colors>
    <mruColors>
      <color rgb="FFFFD347"/>
      <color rgb="FFFFD13F"/>
      <color rgb="FFFFCD2D"/>
      <color rgb="FFFFD4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/>
              <a:t>Exception Resolution Status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Dashboard!$C$15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Dashboard!$B$16:$B$17</c:f>
              <c:strCache>
                <c:ptCount val="2"/>
                <c:pt idx="0">
                  <c:v>Resolved</c:v>
                </c:pt>
                <c:pt idx="1">
                  <c:v>Pending</c:v>
                </c:pt>
              </c:strCache>
            </c:strRef>
          </c:cat>
          <c:val>
            <c:numRef>
              <c:f>Dashboard!$C$16:$C$17</c:f>
              <c:numCache>
                <c:formatCode>General</c:formatCode>
                <c:ptCount val="2"/>
                <c:pt idx="0">
                  <c:v>17</c:v>
                </c:pt>
                <c:pt idx="1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86510256"/>
        <c:axId val="-1986509712"/>
      </c:barChart>
      <c:catAx>
        <c:axId val="-1986510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6509712"/>
        <c:crosses val="autoZero"/>
        <c:auto val="1"/>
        <c:lblAlgn val="ctr"/>
        <c:lblOffset val="100"/>
        <c:noMultiLvlLbl val="0"/>
      </c:catAx>
      <c:valAx>
        <c:axId val="-198650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8651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Product Data Quality Summary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'YOUR PRACTICE'!$Y$2:$Y$6</c:f>
              <c:strCache>
                <c:ptCount val="5"/>
                <c:pt idx="0">
                  <c:v>Total Records</c:v>
                </c:pt>
                <c:pt idx="1">
                  <c:v>Review - Duplicate</c:v>
                </c:pt>
                <c:pt idx="2">
                  <c:v>Review - Missing Data</c:v>
                </c:pt>
                <c:pt idx="3">
                  <c:v>Review - Standardization</c:v>
                </c:pt>
                <c:pt idx="4">
                  <c:v>Clean</c:v>
                </c:pt>
              </c:strCache>
            </c:strRef>
          </c:cat>
          <c:val>
            <c:numRef>
              <c:f>'YOUR PRACTICE'!$Z$2:$Z$6</c:f>
              <c:numCache>
                <c:formatCode>General</c:formatCode>
                <c:ptCount val="5"/>
                <c:pt idx="0">
                  <c:v>15</c:v>
                </c:pt>
                <c:pt idx="1">
                  <c:v>2</c:v>
                </c:pt>
                <c:pt idx="2">
                  <c:v>3</c:v>
                </c:pt>
                <c:pt idx="3">
                  <c:v>7</c:v>
                </c:pt>
                <c:pt idx="4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25323088"/>
        <c:axId val="-825325808"/>
      </c:barChart>
      <c:catAx>
        <c:axId val="-82532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25325808"/>
        <c:crosses val="autoZero"/>
        <c:auto val="1"/>
        <c:lblAlgn val="ctr"/>
        <c:lblOffset val="100"/>
        <c:noMultiLvlLbl val="0"/>
      </c:catAx>
      <c:valAx>
        <c:axId val="-82532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25323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12</xdr:row>
      <xdr:rowOff>167640</xdr:rowOff>
    </xdr:from>
    <xdr:to>
      <xdr:col>10</xdr:col>
      <xdr:colOff>1036320</xdr:colOff>
      <xdr:row>25</xdr:row>
      <xdr:rowOff>99060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26</xdr:row>
          <xdr:rowOff>76200</xdr:rowOff>
        </xdr:from>
        <xdr:to>
          <xdr:col>9</xdr:col>
          <xdr:colOff>853440</xdr:colOff>
          <xdr:row>29</xdr:row>
          <xdr:rowOff>15240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250372</xdr:colOff>
      <xdr:row>17</xdr:row>
      <xdr:rowOff>152400</xdr:rowOff>
    </xdr:from>
    <xdr:to>
      <xdr:col>29</xdr:col>
      <xdr:colOff>642257</xdr:colOff>
      <xdr:row>33</xdr:row>
      <xdr:rowOff>108857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6" name="tblCleanMaster" displayName="tblCleanMaster" ref="A1:G15" totalsRowShown="0" headerRowDxfId="0">
  <autoFilter ref="A1:G15"/>
  <tableColumns count="7">
    <tableColumn id="1" name="SKU"/>
    <tableColumn id="2" name="Product Name"/>
    <tableColumn id="3" name="Category"/>
    <tableColumn id="4" name="Color"/>
    <tableColumn id="5" name="Supplier"/>
    <tableColumn id="6" name="Unit Price" dataDxfId="1"/>
    <tableColumn id="7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002060"/>
  </sheetPr>
  <dimension ref="B2:K32"/>
  <sheetViews>
    <sheetView showGridLines="0" tabSelected="1" workbookViewId="0"/>
  </sheetViews>
  <sheetFormatPr defaultRowHeight="13.8"/>
  <cols>
    <col min="1" max="1" width="13.69921875" customWidth="1"/>
    <col min="2" max="2" width="18.69921875" customWidth="1"/>
    <col min="3" max="3" width="16.19921875" customWidth="1"/>
    <col min="4" max="7" width="13.69921875" customWidth="1"/>
    <col min="8" max="8" width="16" customWidth="1"/>
    <col min="9" max="12" width="13.69921875" customWidth="1"/>
  </cols>
  <sheetData>
    <row r="2" spans="2:11" s="19" customFormat="1" ht="25.05" customHeight="1">
      <c r="B2" s="24" t="s">
        <v>195</v>
      </c>
      <c r="C2" s="24"/>
      <c r="D2" s="24"/>
      <c r="E2" s="24"/>
      <c r="F2" s="24"/>
      <c r="G2" s="24"/>
      <c r="H2" s="24"/>
      <c r="I2" s="24"/>
      <c r="J2" s="24"/>
      <c r="K2" s="24"/>
    </row>
    <row r="3" spans="2:11" s="19" customFormat="1" ht="25.05" customHeight="1">
      <c r="B3" s="24"/>
      <c r="C3" s="24"/>
      <c r="D3" s="24"/>
      <c r="E3" s="24"/>
      <c r="F3" s="24"/>
      <c r="G3" s="24"/>
      <c r="H3" s="24"/>
      <c r="I3" s="24"/>
      <c r="J3" s="24"/>
      <c r="K3" s="24"/>
    </row>
    <row r="4" spans="2:11">
      <c r="B4" s="25" t="s">
        <v>196</v>
      </c>
    </row>
    <row r="6" spans="2:11">
      <c r="B6" s="26" t="s">
        <v>197</v>
      </c>
      <c r="C6" s="27"/>
      <c r="D6" s="28"/>
      <c r="E6" s="26" t="s">
        <v>198</v>
      </c>
      <c r="F6" s="27"/>
      <c r="G6" s="28"/>
      <c r="H6" s="26" t="s">
        <v>199</v>
      </c>
      <c r="I6" s="27"/>
      <c r="J6" s="28"/>
    </row>
    <row r="7" spans="2:11" ht="28.2">
      <c r="B7" s="29">
        <f>COUNTA('Raw Product Data'!A:A)-1</f>
        <v>15</v>
      </c>
      <c r="C7" s="30"/>
      <c r="D7" s="31"/>
      <c r="E7" s="29">
        <f>COUNTA('Clean Master Data'!A:A)-1</f>
        <v>14</v>
      </c>
      <c r="F7" s="30"/>
      <c r="G7" s="31"/>
      <c r="H7" s="29">
        <f>COUNTIF('Review Queue'!C:C,"Duplicate SKU")</f>
        <v>1</v>
      </c>
      <c r="I7" s="30"/>
      <c r="J7" s="31"/>
    </row>
    <row r="10" spans="2:11">
      <c r="B10" s="32" t="s">
        <v>155</v>
      </c>
      <c r="C10" s="33"/>
      <c r="D10" s="34"/>
      <c r="E10" s="32" t="s">
        <v>150</v>
      </c>
      <c r="F10" s="33"/>
      <c r="G10" s="34"/>
      <c r="H10" s="32" t="s">
        <v>152</v>
      </c>
      <c r="I10" s="33"/>
      <c r="J10" s="34"/>
    </row>
    <row r="11" spans="2:11" ht="28.2">
      <c r="B11" s="35">
        <f>COUNTA('Exception Log'!B:B)-1</f>
        <v>20</v>
      </c>
      <c r="C11" s="36"/>
      <c r="D11" s="37"/>
      <c r="E11" s="35">
        <f>COUNTIF('Exception Log'!F:F,"Resolved")</f>
        <v>17</v>
      </c>
      <c r="F11" s="36"/>
      <c r="G11" s="37"/>
      <c r="H11" s="35">
        <f>COUNTIF('Exception Log'!F:F,"Pending")</f>
        <v>3</v>
      </c>
      <c r="I11" s="36"/>
      <c r="J11" s="37"/>
    </row>
    <row r="15" spans="2:11">
      <c r="B15" t="s">
        <v>200</v>
      </c>
      <c r="C15" s="23" t="s">
        <v>154</v>
      </c>
    </row>
    <row r="16" spans="2:11">
      <c r="B16" t="s">
        <v>150</v>
      </c>
      <c r="C16" s="23">
        <f>COUNTIF('Exception Log'!F:F,"Resolved")</f>
        <v>17</v>
      </c>
    </row>
    <row r="17" spans="2:8">
      <c r="B17" t="s">
        <v>152</v>
      </c>
      <c r="C17" s="23">
        <f>COUNTIF('Exception Log'!F:F,"Pending")</f>
        <v>3</v>
      </c>
    </row>
    <row r="20" spans="2:8" ht="15">
      <c r="B20" s="38" t="s">
        <v>201</v>
      </c>
      <c r="C20" s="39">
        <f>IFERROR(C16/SUM(C16:C17),0)</f>
        <v>0.85</v>
      </c>
    </row>
    <row r="32" spans="2:8">
      <c r="B32" s="46" t="s">
        <v>202</v>
      </c>
      <c r="D32" s="46" t="s">
        <v>203</v>
      </c>
      <c r="F32" s="46" t="s">
        <v>204</v>
      </c>
      <c r="H32" s="46" t="s">
        <v>205</v>
      </c>
    </row>
  </sheetData>
  <mergeCells count="13">
    <mergeCell ref="B10:D10"/>
    <mergeCell ref="E10:G10"/>
    <mergeCell ref="H10:J10"/>
    <mergeCell ref="B11:D11"/>
    <mergeCell ref="E11:G11"/>
    <mergeCell ref="H11:J11"/>
    <mergeCell ref="B2:K3"/>
    <mergeCell ref="B6:D6"/>
    <mergeCell ref="B7:D7"/>
    <mergeCell ref="E6:G6"/>
    <mergeCell ref="E7:G7"/>
    <mergeCell ref="H6:J6"/>
    <mergeCell ref="H7:J7"/>
  </mergeCells>
  <conditionalFormatting sqref="C20">
    <cfRule type="dataBar" priority="1">
      <dataBar>
        <cfvo type="num" val="0"/>
        <cfvo type="num" val="1"/>
        <color theme="9"/>
      </dataBar>
      <extLst>
        <ext xmlns:x14="http://schemas.microsoft.com/office/spreadsheetml/2009/9/main" uri="{B025F937-C7B1-47D3-B67F-A62EFF666E3E}">
          <x14:id>{68C7CE8C-602F-4A94-A47E-CA5732A375B8}</x14:id>
        </ext>
      </extLst>
    </cfRule>
  </conditionalFormatting>
  <hyperlinks>
    <hyperlink ref="B32" location="'Clean Master Data'!A1" display="Clean Master Data"/>
    <hyperlink ref="D32" location="'Review Queue'!A1" display="Review Queue"/>
    <hyperlink ref="F32" location="'Exception Log'!A1" display="Exception Log"/>
    <hyperlink ref="H32" location="'Raw Product Data'!A1" display="Raw Product Data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RefreshCleanMasterData">
                <anchor moveWithCells="1" sizeWithCells="1">
                  <from>
                    <xdr:col>7</xdr:col>
                    <xdr:colOff>15240</xdr:colOff>
                    <xdr:row>26</xdr:row>
                    <xdr:rowOff>76200</xdr:rowOff>
                  </from>
                  <to>
                    <xdr:col>9</xdr:col>
                    <xdr:colOff>853440</xdr:colOff>
                    <xdr:row>29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C7CE8C-602F-4A94-A47E-CA5732A375B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C20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-0.249977111117893"/>
  </sheetPr>
  <dimension ref="A1:I15"/>
  <sheetViews>
    <sheetView workbookViewId="0">
      <pane ySplit="1" topLeftCell="A2" activePane="bottomLeft" state="frozen"/>
      <selection pane="bottomLeft"/>
    </sheetView>
  </sheetViews>
  <sheetFormatPr defaultRowHeight="13.8"/>
  <cols>
    <col min="1" max="1" width="16.69921875" customWidth="1"/>
    <col min="2" max="2" width="27.69921875" customWidth="1"/>
    <col min="3" max="3" width="18.69921875" customWidth="1"/>
    <col min="4" max="4" width="14.69921875" customWidth="1"/>
    <col min="5" max="5" width="21.69921875" customWidth="1"/>
    <col min="6" max="6" width="15.69921875" style="21" customWidth="1"/>
    <col min="7" max="7" width="17.69921875" customWidth="1"/>
    <col min="9" max="9" width="19.796875" bestFit="1" customWidth="1"/>
    <col min="12" max="12" width="20" bestFit="1" customWidth="1"/>
    <col min="13" max="13" width="7.3984375" bestFit="1" customWidth="1"/>
  </cols>
  <sheetData>
    <row r="1" spans="1:9" s="19" customFormat="1" ht="30" customHeight="1">
      <c r="A1" s="5" t="s">
        <v>27</v>
      </c>
      <c r="B1" s="5" t="s">
        <v>28</v>
      </c>
      <c r="C1" s="5" t="s">
        <v>29</v>
      </c>
      <c r="D1" s="5" t="s">
        <v>30</v>
      </c>
      <c r="E1" s="5" t="s">
        <v>31</v>
      </c>
      <c r="F1" s="22" t="s">
        <v>32</v>
      </c>
      <c r="G1" s="5" t="s">
        <v>33</v>
      </c>
    </row>
    <row r="2" spans="1:9">
      <c r="A2" t="s">
        <v>34</v>
      </c>
      <c r="B2" t="s">
        <v>41</v>
      </c>
      <c r="C2" t="s">
        <v>36</v>
      </c>
      <c r="D2" t="s">
        <v>37</v>
      </c>
      <c r="E2" t="s">
        <v>44</v>
      </c>
      <c r="F2" s="21">
        <v>24.99</v>
      </c>
      <c r="G2" t="s">
        <v>39</v>
      </c>
      <c r="I2" s="46" t="s">
        <v>206</v>
      </c>
    </row>
    <row r="3" spans="1:9">
      <c r="A3" t="s">
        <v>45</v>
      </c>
      <c r="B3" t="s">
        <v>46</v>
      </c>
      <c r="C3" t="s">
        <v>36</v>
      </c>
      <c r="D3" t="s">
        <v>47</v>
      </c>
      <c r="E3" t="s">
        <v>48</v>
      </c>
      <c r="F3" s="21">
        <v>39.5</v>
      </c>
      <c r="G3" t="s">
        <v>39</v>
      </c>
    </row>
    <row r="4" spans="1:9">
      <c r="A4" t="s">
        <v>49</v>
      </c>
      <c r="B4" t="s">
        <v>50</v>
      </c>
      <c r="C4" t="s">
        <v>51</v>
      </c>
      <c r="D4" t="s">
        <v>52</v>
      </c>
      <c r="E4" t="s">
        <v>53</v>
      </c>
      <c r="F4" s="21">
        <v>7.99</v>
      </c>
      <c r="G4" t="s">
        <v>39</v>
      </c>
    </row>
    <row r="5" spans="1:9">
      <c r="A5" t="s">
        <v>55</v>
      </c>
      <c r="B5" t="s">
        <v>56</v>
      </c>
      <c r="C5" t="s">
        <v>57</v>
      </c>
      <c r="D5" t="s">
        <v>58</v>
      </c>
      <c r="E5" t="s">
        <v>59</v>
      </c>
      <c r="F5" s="21">
        <v>29</v>
      </c>
    </row>
    <row r="6" spans="1:9">
      <c r="A6" t="s">
        <v>60</v>
      </c>
      <c r="B6" t="s">
        <v>46</v>
      </c>
      <c r="C6" t="s">
        <v>36</v>
      </c>
      <c r="D6" t="s">
        <v>63</v>
      </c>
      <c r="E6" t="s">
        <v>48</v>
      </c>
      <c r="F6" s="21">
        <v>39.5</v>
      </c>
      <c r="G6" t="s">
        <v>39</v>
      </c>
    </row>
    <row r="7" spans="1:9">
      <c r="A7" t="s">
        <v>64</v>
      </c>
      <c r="B7" t="s">
        <v>65</v>
      </c>
      <c r="C7" t="s">
        <v>36</v>
      </c>
      <c r="E7" t="s">
        <v>66</v>
      </c>
      <c r="F7" s="21">
        <v>45</v>
      </c>
      <c r="G7" t="s">
        <v>39</v>
      </c>
    </row>
    <row r="8" spans="1:9">
      <c r="A8" t="s">
        <v>67</v>
      </c>
      <c r="B8" t="s">
        <v>68</v>
      </c>
      <c r="C8" t="s">
        <v>51</v>
      </c>
      <c r="D8" t="s">
        <v>37</v>
      </c>
      <c r="E8" t="s">
        <v>53</v>
      </c>
      <c r="F8" s="21">
        <v>12.5</v>
      </c>
      <c r="G8" t="s">
        <v>70</v>
      </c>
    </row>
    <row r="9" spans="1:9">
      <c r="A9" t="s">
        <v>71</v>
      </c>
      <c r="B9" t="s">
        <v>72</v>
      </c>
      <c r="C9" t="s">
        <v>57</v>
      </c>
      <c r="D9" t="s">
        <v>58</v>
      </c>
      <c r="E9" t="s">
        <v>59</v>
      </c>
      <c r="F9" s="21">
        <v>29</v>
      </c>
      <c r="G9" t="s">
        <v>39</v>
      </c>
    </row>
    <row r="10" spans="1:9">
      <c r="A10" t="s">
        <v>73</v>
      </c>
      <c r="B10" t="s">
        <v>74</v>
      </c>
      <c r="C10" t="s">
        <v>51</v>
      </c>
      <c r="D10" t="s">
        <v>75</v>
      </c>
      <c r="E10" t="s">
        <v>53</v>
      </c>
      <c r="G10" t="s">
        <v>39</v>
      </c>
    </row>
    <row r="11" spans="1:9">
      <c r="A11" t="s">
        <v>76</v>
      </c>
      <c r="B11" t="s">
        <v>77</v>
      </c>
      <c r="C11" t="s">
        <v>36</v>
      </c>
      <c r="D11" t="s">
        <v>37</v>
      </c>
      <c r="E11" t="s">
        <v>80</v>
      </c>
      <c r="F11" s="21">
        <v>54.99</v>
      </c>
      <c r="G11" t="s">
        <v>39</v>
      </c>
    </row>
    <row r="12" spans="1:9">
      <c r="A12" t="s">
        <v>82</v>
      </c>
      <c r="B12" t="s">
        <v>83</v>
      </c>
      <c r="C12" t="s">
        <v>36</v>
      </c>
      <c r="D12" t="s">
        <v>37</v>
      </c>
      <c r="E12" t="s">
        <v>44</v>
      </c>
      <c r="F12" s="21">
        <v>32</v>
      </c>
      <c r="G12" t="s">
        <v>39</v>
      </c>
    </row>
    <row r="13" spans="1:9">
      <c r="A13" t="s">
        <v>84</v>
      </c>
      <c r="B13" t="s">
        <v>85</v>
      </c>
      <c r="C13" t="s">
        <v>51</v>
      </c>
      <c r="D13" t="s">
        <v>52</v>
      </c>
      <c r="E13" t="s">
        <v>53</v>
      </c>
      <c r="F13" s="21">
        <v>6</v>
      </c>
      <c r="G13" t="s">
        <v>39</v>
      </c>
    </row>
    <row r="14" spans="1:9">
      <c r="A14" t="s">
        <v>87</v>
      </c>
      <c r="B14" t="s">
        <v>88</v>
      </c>
      <c r="C14" t="s">
        <v>57</v>
      </c>
      <c r="D14" t="s">
        <v>58</v>
      </c>
      <c r="E14" t="s">
        <v>59</v>
      </c>
      <c r="F14" s="21">
        <v>19.5</v>
      </c>
      <c r="G14" t="s">
        <v>39</v>
      </c>
    </row>
    <row r="15" spans="1:9">
      <c r="A15" t="s">
        <v>90</v>
      </c>
      <c r="B15" t="s">
        <v>91</v>
      </c>
      <c r="C15" t="s">
        <v>36</v>
      </c>
      <c r="D15" t="s">
        <v>37</v>
      </c>
      <c r="E15" t="s">
        <v>48</v>
      </c>
      <c r="F15" s="21">
        <v>11</v>
      </c>
      <c r="G15" t="s">
        <v>39</v>
      </c>
    </row>
  </sheetData>
  <conditionalFormatting sqref="A2:G984">
    <cfRule type="expression" dxfId="21" priority="1">
      <formula>AND($A2&lt;&gt;"",A2="")</formula>
    </cfRule>
  </conditionalFormatting>
  <hyperlinks>
    <hyperlink ref="I2" location="Dashboard!A1" display="← Back to Dashboard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G5"/>
  <sheetViews>
    <sheetView workbookViewId="0">
      <pane ySplit="1" topLeftCell="A2" activePane="bottomLeft" state="frozen"/>
      <selection pane="bottomLeft" activeCell="G2" sqref="G2"/>
    </sheetView>
  </sheetViews>
  <sheetFormatPr defaultRowHeight="13.8"/>
  <cols>
    <col min="1" max="1" width="17.69921875" style="20" customWidth="1"/>
    <col min="2" max="2" width="17.69921875" customWidth="1"/>
    <col min="3" max="3" width="22.69921875" customWidth="1"/>
    <col min="4" max="4" width="40.69921875" customWidth="1"/>
    <col min="5" max="5" width="28.69921875" customWidth="1"/>
    <col min="7" max="7" width="19.796875" bestFit="1" customWidth="1"/>
  </cols>
  <sheetData>
    <row r="1" spans="1:7" ht="14.4">
      <c r="A1" s="45" t="s">
        <v>156</v>
      </c>
      <c r="B1" s="44" t="s">
        <v>27</v>
      </c>
      <c r="C1" s="44" t="s">
        <v>157</v>
      </c>
      <c r="D1" s="44" t="s">
        <v>158</v>
      </c>
      <c r="E1" s="44" t="s">
        <v>159</v>
      </c>
    </row>
    <row r="2" spans="1:7">
      <c r="A2" s="20">
        <v>2</v>
      </c>
      <c r="B2" t="s">
        <v>34</v>
      </c>
      <c r="C2" t="s">
        <v>160</v>
      </c>
      <c r="D2" t="s">
        <v>161</v>
      </c>
      <c r="E2" t="s">
        <v>162</v>
      </c>
      <c r="G2" s="46" t="s">
        <v>206</v>
      </c>
    </row>
    <row r="3" spans="1:7">
      <c r="A3" s="20" t="s">
        <v>163</v>
      </c>
      <c r="B3" t="s">
        <v>55</v>
      </c>
      <c r="C3" t="s">
        <v>164</v>
      </c>
      <c r="D3" t="s">
        <v>165</v>
      </c>
      <c r="E3" t="s">
        <v>166</v>
      </c>
    </row>
    <row r="4" spans="1:7">
      <c r="A4" s="20" t="s">
        <v>167</v>
      </c>
      <c r="B4" t="s">
        <v>64</v>
      </c>
      <c r="C4" t="s">
        <v>164</v>
      </c>
      <c r="D4" t="s">
        <v>168</v>
      </c>
      <c r="E4" t="s">
        <v>166</v>
      </c>
    </row>
    <row r="5" spans="1:7">
      <c r="A5" s="20" t="s">
        <v>169</v>
      </c>
      <c r="B5" t="s">
        <v>73</v>
      </c>
      <c r="C5" t="s">
        <v>164</v>
      </c>
      <c r="D5" t="s">
        <v>170</v>
      </c>
      <c r="E5" t="s">
        <v>166</v>
      </c>
    </row>
  </sheetData>
  <conditionalFormatting sqref="E2:E1000">
    <cfRule type="expression" dxfId="20" priority="1">
      <formula>TRIM($E2)="Duplicate - Auto Removed"</formula>
    </cfRule>
    <cfRule type="expression" dxfId="19" priority="2">
      <formula>$E2="Pending Verification"</formula>
    </cfRule>
    <cfRule type="expression" dxfId="18" priority="3">
      <formula>$E2="Pending Review"</formula>
    </cfRule>
  </conditionalFormatting>
  <hyperlinks>
    <hyperlink ref="G2" location="Dashboard!A1" display="← Back to Dashboard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/>
  </sheetPr>
  <dimension ref="A1:I21"/>
  <sheetViews>
    <sheetView workbookViewId="0">
      <selection activeCell="H7" sqref="H7"/>
    </sheetView>
  </sheetViews>
  <sheetFormatPr defaultRowHeight="13.8"/>
  <cols>
    <col min="1" max="1" width="13.296875" style="20" customWidth="1"/>
    <col min="2" max="2" width="16.69921875" customWidth="1"/>
    <col min="3" max="3" width="20.69921875" customWidth="1"/>
    <col min="4" max="4" width="38.69921875" customWidth="1"/>
    <col min="5" max="5" width="40.69921875" customWidth="1"/>
    <col min="6" max="6" width="20.69921875" customWidth="1"/>
    <col min="7" max="7" width="4.19921875" customWidth="1"/>
    <col min="8" max="8" width="19.8984375" customWidth="1"/>
    <col min="9" max="9" width="7.09765625" customWidth="1"/>
  </cols>
  <sheetData>
    <row r="1" spans="1:9" s="12" customFormat="1" ht="31.95" customHeight="1">
      <c r="A1" s="41" t="s">
        <v>146</v>
      </c>
      <c r="B1" s="40" t="s">
        <v>27</v>
      </c>
      <c r="C1" s="40" t="s">
        <v>147</v>
      </c>
      <c r="D1" s="40" t="s">
        <v>93</v>
      </c>
      <c r="E1" s="40" t="s">
        <v>94</v>
      </c>
      <c r="F1" s="40" t="s">
        <v>148</v>
      </c>
      <c r="H1" s="43" t="s">
        <v>153</v>
      </c>
      <c r="I1" s="43" t="s">
        <v>154</v>
      </c>
    </row>
    <row r="2" spans="1:9">
      <c r="A2" s="20">
        <v>2</v>
      </c>
      <c r="B2" t="s">
        <v>34</v>
      </c>
      <c r="C2" t="s">
        <v>31</v>
      </c>
      <c r="D2" t="s">
        <v>171</v>
      </c>
      <c r="E2" t="s">
        <v>172</v>
      </c>
      <c r="F2" t="s">
        <v>150</v>
      </c>
      <c r="H2" s="42" t="s">
        <v>155</v>
      </c>
      <c r="I2" s="42">
        <f>COUNTA(B2:B999)</f>
        <v>20</v>
      </c>
    </row>
    <row r="3" spans="1:9">
      <c r="A3" s="20">
        <v>3</v>
      </c>
      <c r="B3" t="s">
        <v>34</v>
      </c>
      <c r="C3" t="s">
        <v>27</v>
      </c>
      <c r="D3" t="s">
        <v>173</v>
      </c>
      <c r="E3" t="s">
        <v>174</v>
      </c>
      <c r="F3" t="s">
        <v>150</v>
      </c>
      <c r="H3" s="42" t="s">
        <v>150</v>
      </c>
      <c r="I3" s="42">
        <f>COUNTIF(F2:F999,"Resolved")</f>
        <v>17</v>
      </c>
    </row>
    <row r="4" spans="1:9">
      <c r="A4" s="20">
        <v>3</v>
      </c>
      <c r="B4" t="s">
        <v>34</v>
      </c>
      <c r="C4" t="s">
        <v>29</v>
      </c>
      <c r="D4" t="s">
        <v>175</v>
      </c>
      <c r="E4" t="s">
        <v>176</v>
      </c>
      <c r="F4" t="s">
        <v>150</v>
      </c>
      <c r="H4" s="42" t="s">
        <v>152</v>
      </c>
      <c r="I4" s="42">
        <f>COUNTIF(F2:F999,"Pending")</f>
        <v>3</v>
      </c>
    </row>
    <row r="5" spans="1:9">
      <c r="A5" s="20">
        <v>3</v>
      </c>
      <c r="B5" t="s">
        <v>34</v>
      </c>
      <c r="C5" t="s">
        <v>30</v>
      </c>
      <c r="D5" t="s">
        <v>177</v>
      </c>
      <c r="E5" t="s">
        <v>178</v>
      </c>
      <c r="F5" t="s">
        <v>150</v>
      </c>
    </row>
    <row r="6" spans="1:9">
      <c r="A6" s="20">
        <v>5</v>
      </c>
      <c r="B6" t="s">
        <v>49</v>
      </c>
      <c r="C6" t="s">
        <v>33</v>
      </c>
      <c r="D6" t="s">
        <v>179</v>
      </c>
      <c r="E6" t="s">
        <v>180</v>
      </c>
      <c r="F6" t="s">
        <v>150</v>
      </c>
    </row>
    <row r="7" spans="1:9">
      <c r="A7" s="20">
        <v>6</v>
      </c>
      <c r="B7" t="s">
        <v>55</v>
      </c>
      <c r="C7" t="s">
        <v>33</v>
      </c>
      <c r="D7" t="s">
        <v>164</v>
      </c>
      <c r="E7" t="s">
        <v>151</v>
      </c>
      <c r="F7" t="s">
        <v>152</v>
      </c>
      <c r="H7" s="46" t="s">
        <v>206</v>
      </c>
    </row>
    <row r="8" spans="1:9">
      <c r="A8" s="20">
        <v>7</v>
      </c>
      <c r="B8" t="s">
        <v>60</v>
      </c>
      <c r="C8" t="s">
        <v>28</v>
      </c>
      <c r="D8" t="s">
        <v>181</v>
      </c>
      <c r="E8" t="s">
        <v>182</v>
      </c>
      <c r="F8" t="s">
        <v>150</v>
      </c>
    </row>
    <row r="9" spans="1:9">
      <c r="A9" s="20">
        <v>7</v>
      </c>
      <c r="B9" t="s">
        <v>60</v>
      </c>
      <c r="C9" t="s">
        <v>29</v>
      </c>
      <c r="D9" t="s">
        <v>183</v>
      </c>
      <c r="E9" t="s">
        <v>176</v>
      </c>
      <c r="F9" t="s">
        <v>150</v>
      </c>
    </row>
    <row r="10" spans="1:9">
      <c r="A10" s="20">
        <v>8</v>
      </c>
      <c r="B10" t="s">
        <v>64</v>
      </c>
      <c r="C10" t="s">
        <v>30</v>
      </c>
      <c r="D10" t="s">
        <v>164</v>
      </c>
      <c r="E10" t="s">
        <v>151</v>
      </c>
      <c r="F10" t="s">
        <v>152</v>
      </c>
    </row>
    <row r="11" spans="1:9">
      <c r="A11" s="20">
        <v>9</v>
      </c>
      <c r="B11" t="s">
        <v>67</v>
      </c>
      <c r="C11" t="s">
        <v>29</v>
      </c>
      <c r="D11" t="s">
        <v>184</v>
      </c>
      <c r="E11" t="s">
        <v>185</v>
      </c>
      <c r="F11" t="s">
        <v>150</v>
      </c>
    </row>
    <row r="12" spans="1:9">
      <c r="A12" s="20">
        <v>11</v>
      </c>
      <c r="B12" t="s">
        <v>73</v>
      </c>
      <c r="C12" t="s">
        <v>32</v>
      </c>
      <c r="D12" t="s">
        <v>164</v>
      </c>
      <c r="E12" t="s">
        <v>151</v>
      </c>
      <c r="F12" t="s">
        <v>152</v>
      </c>
    </row>
    <row r="13" spans="1:9">
      <c r="A13" s="20">
        <v>12</v>
      </c>
      <c r="B13" t="s">
        <v>76</v>
      </c>
      <c r="C13" t="s">
        <v>29</v>
      </c>
      <c r="D13" t="s">
        <v>186</v>
      </c>
      <c r="E13" t="s">
        <v>176</v>
      </c>
      <c r="F13" t="s">
        <v>150</v>
      </c>
    </row>
    <row r="14" spans="1:9">
      <c r="A14" s="20">
        <v>12</v>
      </c>
      <c r="B14" t="s">
        <v>76</v>
      </c>
      <c r="C14" t="s">
        <v>30</v>
      </c>
      <c r="D14" t="s">
        <v>187</v>
      </c>
      <c r="E14" t="s">
        <v>178</v>
      </c>
      <c r="F14" t="s">
        <v>150</v>
      </c>
    </row>
    <row r="15" spans="1:9">
      <c r="A15" s="20">
        <v>12</v>
      </c>
      <c r="B15" t="s">
        <v>76</v>
      </c>
      <c r="C15" t="s">
        <v>33</v>
      </c>
      <c r="D15" t="s">
        <v>188</v>
      </c>
      <c r="E15" t="s">
        <v>180</v>
      </c>
      <c r="F15" t="s">
        <v>150</v>
      </c>
    </row>
    <row r="16" spans="1:9">
      <c r="A16" s="20">
        <v>13</v>
      </c>
      <c r="B16" t="s">
        <v>82</v>
      </c>
      <c r="C16" t="s">
        <v>31</v>
      </c>
      <c r="D16" t="s">
        <v>171</v>
      </c>
      <c r="E16" t="s">
        <v>172</v>
      </c>
      <c r="F16" t="s">
        <v>150</v>
      </c>
    </row>
    <row r="17" spans="1:6">
      <c r="A17" s="20">
        <v>14</v>
      </c>
      <c r="B17" t="s">
        <v>84</v>
      </c>
      <c r="C17" t="s">
        <v>30</v>
      </c>
      <c r="D17" t="s">
        <v>189</v>
      </c>
      <c r="E17" t="s">
        <v>190</v>
      </c>
      <c r="F17" t="s">
        <v>150</v>
      </c>
    </row>
    <row r="18" spans="1:6">
      <c r="A18" s="20">
        <v>15</v>
      </c>
      <c r="B18" t="s">
        <v>87</v>
      </c>
      <c r="C18" t="s">
        <v>29</v>
      </c>
      <c r="D18" t="s">
        <v>191</v>
      </c>
      <c r="E18" t="s">
        <v>192</v>
      </c>
      <c r="F18" t="s">
        <v>150</v>
      </c>
    </row>
    <row r="19" spans="1:6">
      <c r="A19" s="20">
        <v>15</v>
      </c>
      <c r="B19" t="s">
        <v>87</v>
      </c>
      <c r="C19" t="s">
        <v>33</v>
      </c>
      <c r="D19" t="s">
        <v>179</v>
      </c>
      <c r="E19" t="s">
        <v>180</v>
      </c>
      <c r="F19" t="s">
        <v>150</v>
      </c>
    </row>
    <row r="20" spans="1:6">
      <c r="A20" s="20">
        <v>16</v>
      </c>
      <c r="B20" t="s">
        <v>90</v>
      </c>
      <c r="C20" t="s">
        <v>31</v>
      </c>
      <c r="D20" t="s">
        <v>193</v>
      </c>
      <c r="E20" t="s">
        <v>194</v>
      </c>
      <c r="F20" t="s">
        <v>150</v>
      </c>
    </row>
    <row r="21" spans="1:6">
      <c r="A21" s="20">
        <v>2</v>
      </c>
      <c r="B21" t="s">
        <v>34</v>
      </c>
      <c r="C21" t="s">
        <v>27</v>
      </c>
      <c r="D21" t="s">
        <v>149</v>
      </c>
      <c r="E21" t="s">
        <v>161</v>
      </c>
      <c r="F21" t="s">
        <v>150</v>
      </c>
    </row>
  </sheetData>
  <conditionalFormatting sqref="B16">
    <cfRule type="duplicateValues" dxfId="17" priority="11"/>
    <cfRule type="duplicateValues" dxfId="16" priority="12"/>
  </conditionalFormatting>
  <conditionalFormatting sqref="B9">
    <cfRule type="duplicateValues" dxfId="15" priority="13"/>
    <cfRule type="duplicateValues" dxfId="14" priority="14"/>
  </conditionalFormatting>
  <conditionalFormatting sqref="B4">
    <cfRule type="duplicateValues" dxfId="13" priority="9"/>
    <cfRule type="duplicateValues" dxfId="12" priority="10"/>
  </conditionalFormatting>
  <conditionalFormatting sqref="B14">
    <cfRule type="duplicateValues" dxfId="11" priority="7"/>
    <cfRule type="duplicateValues" dxfId="10" priority="8"/>
  </conditionalFormatting>
  <conditionalFormatting sqref="B18">
    <cfRule type="duplicateValues" dxfId="9" priority="5"/>
    <cfRule type="duplicateValues" dxfId="8" priority="6"/>
  </conditionalFormatting>
  <conditionalFormatting sqref="B17">
    <cfRule type="duplicateValues" dxfId="7" priority="3"/>
    <cfRule type="duplicateValues" dxfId="6" priority="4"/>
  </conditionalFormatting>
  <conditionalFormatting sqref="F2:F1000">
    <cfRule type="expression" dxfId="5" priority="1">
      <formula>$F2="Pending"</formula>
    </cfRule>
    <cfRule type="expression" dxfId="4" priority="2">
      <formula>$F2="Resolved"</formula>
    </cfRule>
  </conditionalFormatting>
  <hyperlinks>
    <hyperlink ref="H7" location="Dashboard!A1" display="← Back to Dashboard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 tint="-0.499984740745262"/>
  </sheetPr>
  <dimension ref="A1:I16"/>
  <sheetViews>
    <sheetView workbookViewId="0">
      <selection activeCell="B12" sqref="B12"/>
    </sheetView>
  </sheetViews>
  <sheetFormatPr defaultRowHeight="13.8"/>
  <cols>
    <col min="1" max="1" width="16" customWidth="1"/>
    <col min="2" max="2" width="26" customWidth="1"/>
    <col min="3" max="3" width="18" customWidth="1"/>
    <col min="4" max="4" width="14" customWidth="1"/>
    <col min="5" max="5" width="20" customWidth="1"/>
    <col min="6" max="6" width="16" customWidth="1"/>
    <col min="7" max="7" width="18" customWidth="1"/>
    <col min="9" max="9" width="19.796875" bestFit="1" customWidth="1"/>
  </cols>
  <sheetData>
    <row r="1" spans="1:9" ht="20.85" customHeight="1">
      <c r="A1" s="5" t="s">
        <v>27</v>
      </c>
      <c r="B1" s="5" t="s">
        <v>28</v>
      </c>
      <c r="C1" s="5" t="s">
        <v>29</v>
      </c>
      <c r="D1" s="5" t="s">
        <v>30</v>
      </c>
      <c r="E1" s="5" t="s">
        <v>31</v>
      </c>
      <c r="F1" s="5" t="s">
        <v>32</v>
      </c>
      <c r="G1" s="5" t="s">
        <v>33</v>
      </c>
    </row>
    <row r="2" spans="1:9">
      <c r="A2" t="s">
        <v>34</v>
      </c>
      <c r="B2" t="s">
        <v>35</v>
      </c>
      <c r="C2" t="s">
        <v>36</v>
      </c>
      <c r="D2" t="s">
        <v>37</v>
      </c>
      <c r="E2" t="s">
        <v>38</v>
      </c>
      <c r="F2" s="6">
        <v>24.99</v>
      </c>
      <c r="G2" t="s">
        <v>39</v>
      </c>
      <c r="I2" s="46" t="s">
        <v>206</v>
      </c>
    </row>
    <row r="3" spans="1:9">
      <c r="A3" t="s">
        <v>40</v>
      </c>
      <c r="B3" t="s">
        <v>41</v>
      </c>
      <c r="C3" t="s">
        <v>42</v>
      </c>
      <c r="D3" t="s">
        <v>43</v>
      </c>
      <c r="E3" t="s">
        <v>44</v>
      </c>
      <c r="F3" s="6">
        <v>24.99</v>
      </c>
      <c r="G3" t="s">
        <v>39</v>
      </c>
    </row>
    <row r="4" spans="1:9">
      <c r="A4" t="s">
        <v>45</v>
      </c>
      <c r="B4" t="s">
        <v>46</v>
      </c>
      <c r="C4" t="s">
        <v>36</v>
      </c>
      <c r="D4" t="s">
        <v>47</v>
      </c>
      <c r="E4" t="s">
        <v>48</v>
      </c>
      <c r="F4" s="6">
        <v>39.5</v>
      </c>
      <c r="G4" t="s">
        <v>39</v>
      </c>
    </row>
    <row r="5" spans="1:9">
      <c r="A5" t="s">
        <v>49</v>
      </c>
      <c r="B5" t="s">
        <v>50</v>
      </c>
      <c r="C5" t="s">
        <v>51</v>
      </c>
      <c r="D5" t="s">
        <v>52</v>
      </c>
      <c r="E5" t="s">
        <v>53</v>
      </c>
      <c r="F5" s="6">
        <v>7.99</v>
      </c>
      <c r="G5" t="s">
        <v>54</v>
      </c>
    </row>
    <row r="6" spans="1:9">
      <c r="A6" t="s">
        <v>55</v>
      </c>
      <c r="B6" t="s">
        <v>56</v>
      </c>
      <c r="C6" t="s">
        <v>57</v>
      </c>
      <c r="D6" t="s">
        <v>58</v>
      </c>
      <c r="E6" t="s">
        <v>59</v>
      </c>
      <c r="F6" s="6">
        <v>29</v>
      </c>
    </row>
    <row r="7" spans="1:9">
      <c r="A7" t="s">
        <v>60</v>
      </c>
      <c r="B7" t="s">
        <v>61</v>
      </c>
      <c r="C7" t="s">
        <v>62</v>
      </c>
      <c r="D7" t="s">
        <v>63</v>
      </c>
      <c r="E7" t="s">
        <v>48</v>
      </c>
      <c r="F7" s="6">
        <v>39.5</v>
      </c>
      <c r="G7" t="s">
        <v>39</v>
      </c>
    </row>
    <row r="8" spans="1:9">
      <c r="A8" t="s">
        <v>64</v>
      </c>
      <c r="B8" t="s">
        <v>65</v>
      </c>
      <c r="C8" t="s">
        <v>36</v>
      </c>
      <c r="E8" t="s">
        <v>66</v>
      </c>
      <c r="F8" s="6">
        <v>45</v>
      </c>
      <c r="G8" t="s">
        <v>39</v>
      </c>
    </row>
    <row r="9" spans="1:9">
      <c r="A9" t="s">
        <v>67</v>
      </c>
      <c r="B9" t="s">
        <v>68</v>
      </c>
      <c r="C9" t="s">
        <v>69</v>
      </c>
      <c r="D9" t="s">
        <v>37</v>
      </c>
      <c r="E9" t="s">
        <v>53</v>
      </c>
      <c r="F9" s="6">
        <v>12.5</v>
      </c>
      <c r="G9" t="s">
        <v>70</v>
      </c>
    </row>
    <row r="10" spans="1:9">
      <c r="A10" t="s">
        <v>71</v>
      </c>
      <c r="B10" t="s">
        <v>72</v>
      </c>
      <c r="C10" t="s">
        <v>57</v>
      </c>
      <c r="D10" t="s">
        <v>58</v>
      </c>
      <c r="E10" t="s">
        <v>59</v>
      </c>
      <c r="F10" s="6">
        <v>29</v>
      </c>
      <c r="G10" t="s">
        <v>39</v>
      </c>
    </row>
    <row r="11" spans="1:9">
      <c r="A11" t="s">
        <v>73</v>
      </c>
      <c r="B11" t="s">
        <v>74</v>
      </c>
      <c r="C11" t="s">
        <v>51</v>
      </c>
      <c r="D11" t="s">
        <v>75</v>
      </c>
      <c r="E11" t="s">
        <v>53</v>
      </c>
      <c r="F11" s="6"/>
      <c r="G11" t="s">
        <v>39</v>
      </c>
    </row>
    <row r="12" spans="1:9">
      <c r="A12" t="s">
        <v>76</v>
      </c>
      <c r="B12" t="s">
        <v>77</v>
      </c>
      <c r="C12" t="s">
        <v>78</v>
      </c>
      <c r="D12" t="s">
        <v>79</v>
      </c>
      <c r="E12" t="s">
        <v>80</v>
      </c>
      <c r="F12" s="6">
        <v>54.99</v>
      </c>
      <c r="G12" t="s">
        <v>81</v>
      </c>
    </row>
    <row r="13" spans="1:9">
      <c r="A13" t="s">
        <v>82</v>
      </c>
      <c r="B13" t="s">
        <v>83</v>
      </c>
      <c r="C13" t="s">
        <v>36</v>
      </c>
      <c r="D13" t="s">
        <v>37</v>
      </c>
      <c r="E13" t="s">
        <v>38</v>
      </c>
      <c r="F13" s="6">
        <v>32</v>
      </c>
      <c r="G13" t="s">
        <v>39</v>
      </c>
    </row>
    <row r="14" spans="1:9">
      <c r="A14" t="s">
        <v>84</v>
      </c>
      <c r="B14" t="s">
        <v>85</v>
      </c>
      <c r="C14" t="s">
        <v>51</v>
      </c>
      <c r="D14" t="s">
        <v>86</v>
      </c>
      <c r="E14" t="s">
        <v>53</v>
      </c>
      <c r="F14" s="6">
        <v>6</v>
      </c>
      <c r="G14" t="s">
        <v>39</v>
      </c>
    </row>
    <row r="15" spans="1:9">
      <c r="A15" t="s">
        <v>87</v>
      </c>
      <c r="B15" t="s">
        <v>88</v>
      </c>
      <c r="C15" t="s">
        <v>89</v>
      </c>
      <c r="D15" t="s">
        <v>58</v>
      </c>
      <c r="E15" t="s">
        <v>59</v>
      </c>
      <c r="F15" s="6">
        <v>19.5</v>
      </c>
      <c r="G15" t="s">
        <v>54</v>
      </c>
    </row>
    <row r="16" spans="1:9">
      <c r="A16" t="s">
        <v>90</v>
      </c>
      <c r="B16" t="s">
        <v>91</v>
      </c>
      <c r="C16" t="s">
        <v>36</v>
      </c>
      <c r="D16" t="s">
        <v>37</v>
      </c>
      <c r="E16" t="s">
        <v>92</v>
      </c>
      <c r="F16" s="6">
        <v>11</v>
      </c>
      <c r="G16" t="s">
        <v>39</v>
      </c>
    </row>
  </sheetData>
  <sheetProtection sheet="1" objects="1" scenarios="1"/>
  <hyperlinks>
    <hyperlink ref="I2" location="Dashboard!A1" display="← Back to Dashboard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 tint="0.59999389629810485"/>
  </sheetPr>
  <dimension ref="A1:AA16"/>
  <sheetViews>
    <sheetView zoomScale="90" zoomScaleNormal="90" workbookViewId="0">
      <selection activeCell="A16" sqref="A16"/>
    </sheetView>
  </sheetViews>
  <sheetFormatPr defaultRowHeight="13.8"/>
  <cols>
    <col min="1" max="1" width="16" customWidth="1"/>
    <col min="2" max="2" width="16.5" bestFit="1" customWidth="1"/>
    <col min="3" max="3" width="11.3984375" bestFit="1" customWidth="1"/>
    <col min="4" max="4" width="8.19921875" bestFit="1" customWidth="1"/>
    <col min="5" max="5" width="10.8984375" bestFit="1" customWidth="1"/>
    <col min="6" max="6" width="12.09765625" bestFit="1" customWidth="1"/>
    <col min="7" max="7" width="11.5" bestFit="1" customWidth="1"/>
    <col min="8" max="8" width="11.19921875" customWidth="1"/>
    <col min="9" max="9" width="11.5" customWidth="1"/>
    <col min="10" max="10" width="25.09765625" bestFit="1" customWidth="1"/>
    <col min="11" max="11" width="1.5" customWidth="1"/>
    <col min="12" max="12" width="1.19921875" customWidth="1"/>
    <col min="13" max="13" width="2.296875" customWidth="1"/>
    <col min="14" max="14" width="9.8984375" customWidth="1"/>
    <col min="15" max="16" width="10" bestFit="1" customWidth="1"/>
    <col min="17" max="17" width="10.69921875" customWidth="1"/>
    <col min="18" max="18" width="8" customWidth="1"/>
    <col min="19" max="19" width="9.8984375" customWidth="1"/>
    <col min="20" max="20" width="12.59765625" customWidth="1"/>
    <col min="21" max="21" width="10.5" customWidth="1"/>
    <col min="23" max="23" width="21.296875" bestFit="1" customWidth="1"/>
    <col min="24" max="24" width="2.19921875" customWidth="1"/>
    <col min="25" max="25" width="10.5" customWidth="1"/>
  </cols>
  <sheetData>
    <row r="1" spans="1:27" s="14" customFormat="1" ht="45">
      <c r="A1" s="7" t="s">
        <v>27</v>
      </c>
      <c r="B1" s="7" t="s">
        <v>28</v>
      </c>
      <c r="C1" s="7" t="s">
        <v>29</v>
      </c>
      <c r="D1" s="7" t="s">
        <v>30</v>
      </c>
      <c r="E1" s="7" t="s">
        <v>31</v>
      </c>
      <c r="F1" s="7" t="s">
        <v>32</v>
      </c>
      <c r="G1" s="7" t="s">
        <v>33</v>
      </c>
      <c r="H1" s="7" t="s">
        <v>93</v>
      </c>
      <c r="I1" s="7" t="s">
        <v>94</v>
      </c>
      <c r="J1" s="7" t="s">
        <v>95</v>
      </c>
      <c r="N1" s="15" t="s">
        <v>131</v>
      </c>
      <c r="O1" s="15"/>
      <c r="P1" s="15"/>
      <c r="Q1" s="15" t="s">
        <v>132</v>
      </c>
      <c r="R1" s="16" t="s">
        <v>135</v>
      </c>
      <c r="S1" s="11" t="s">
        <v>133</v>
      </c>
      <c r="T1" s="11" t="s">
        <v>134</v>
      </c>
      <c r="U1" s="16" t="s">
        <v>136</v>
      </c>
      <c r="V1" s="16" t="s">
        <v>137</v>
      </c>
      <c r="W1" s="16" t="s">
        <v>138</v>
      </c>
      <c r="Y1" s="13" t="s">
        <v>139</v>
      </c>
      <c r="Z1" s="13" t="s">
        <v>140</v>
      </c>
      <c r="AA1" s="15" t="s">
        <v>145</v>
      </c>
    </row>
    <row r="2" spans="1:27" ht="69">
      <c r="A2" t="s">
        <v>34</v>
      </c>
      <c r="B2" t="s">
        <v>35</v>
      </c>
      <c r="C2" t="s">
        <v>36</v>
      </c>
      <c r="D2" t="s">
        <v>37</v>
      </c>
      <c r="E2" t="s">
        <v>38</v>
      </c>
      <c r="F2" s="6">
        <v>24.99</v>
      </c>
      <c r="G2" t="s">
        <v>39</v>
      </c>
      <c r="H2" s="8" t="s">
        <v>128</v>
      </c>
      <c r="I2" s="8" t="s">
        <v>129</v>
      </c>
      <c r="J2" s="8" t="str">
        <f>IF(COUNTIF($A$2:$A$16,A2)&gt;1,"Needs Review - Duplicate",IF(COUNTBLANK(A2:G2)&gt;0,"Needs Review - Missing Data","Clean"))</f>
        <v>Needs Review - Duplicate</v>
      </c>
      <c r="N2" t="str">
        <f>VLOOKUP(C2,$O$2:$P$9,2,FALSE)</f>
        <v>Electronics</v>
      </c>
      <c r="O2" t="s">
        <v>42</v>
      </c>
      <c r="P2" t="s">
        <v>36</v>
      </c>
      <c r="Q2" t="str">
        <f>IF(EXACT(C2,N2),"Valid","Standardize")</f>
        <v>Valid</v>
      </c>
      <c r="R2" t="str">
        <f>VLOOKUP(TRIM(E2),$S$2:$T$9,2,FALSE)</f>
        <v>Acme</v>
      </c>
      <c r="S2" s="12" t="s">
        <v>38</v>
      </c>
      <c r="T2" s="12" t="s">
        <v>44</v>
      </c>
      <c r="U2" t="str">
        <f>IF(EXACT(TRIM(E2),R2),"Valid","Standardize")</f>
        <v>Standardize</v>
      </c>
      <c r="V2" t="str">
        <f>IF(G2="","Missing",IF(OR(EXACT(G2,"Active"),EXACT(G2,"Discontinued")),"Valid","Standardize"))</f>
        <v>Valid</v>
      </c>
      <c r="W2" t="str">
        <f>IF(COUNTIF($A$2:$A$16,A2)&gt;1,"Review - Duplicate",IF(COUNTBLANK(A2:G2)&gt;0,"Review - Missing Data",IF(OR(Q2="Standardize",U2="Standardize",V2="Standardize"),"Review - Standardization","Clean")))</f>
        <v>Review - Duplicate</v>
      </c>
      <c r="Y2" s="12" t="s">
        <v>141</v>
      </c>
      <c r="Z2" s="12">
        <f>COUNTA(A2:A16)</f>
        <v>15</v>
      </c>
      <c r="AA2" s="17"/>
    </row>
    <row r="3" spans="1:27" ht="27.6">
      <c r="A3" t="s">
        <v>34</v>
      </c>
      <c r="B3" t="s">
        <v>35</v>
      </c>
      <c r="C3" t="s">
        <v>36</v>
      </c>
      <c r="D3" t="s">
        <v>37</v>
      </c>
      <c r="E3" t="s">
        <v>44</v>
      </c>
      <c r="F3" s="6">
        <v>24.99</v>
      </c>
      <c r="G3" t="s">
        <v>39</v>
      </c>
      <c r="H3" s="8" t="s">
        <v>130</v>
      </c>
      <c r="I3" s="8"/>
      <c r="J3" s="8" t="str">
        <f t="shared" ref="J3:J16" si="0">IF(COUNTIF($A$2:$A$16,A3)&gt;1,"Needs Review - Duplicate",IF(COUNTBLANK(A3:G3)&gt;0,"Needs Review - Missing Data","Clean"))</f>
        <v>Needs Review - Duplicate</v>
      </c>
      <c r="N3" t="str">
        <f t="shared" ref="N3:N16" si="1">VLOOKUP(C3,$O$2:$P$9,2,FALSE)</f>
        <v>Electronics</v>
      </c>
      <c r="O3" t="s">
        <v>62</v>
      </c>
      <c r="P3" t="s">
        <v>36</v>
      </c>
      <c r="Q3" t="str">
        <f t="shared" ref="Q3:Q16" si="2">IF(EXACT(C3,N3),"Valid","Standardize")</f>
        <v>Valid</v>
      </c>
      <c r="R3" t="str">
        <f t="shared" ref="R3:R16" si="3">VLOOKUP(TRIM(E3),$S$2:$T$9,2,FALSE)</f>
        <v>Acme</v>
      </c>
      <c r="S3" s="12" t="s">
        <v>44</v>
      </c>
      <c r="T3" s="12" t="s">
        <v>44</v>
      </c>
      <c r="U3" t="str">
        <f t="shared" ref="U3:U16" si="4">IF(EXACT(TRIM(E3),R3),"Valid","Standardize")</f>
        <v>Valid</v>
      </c>
      <c r="V3" t="str">
        <f t="shared" ref="V3:V16" si="5">IF(G3="","Missing",IF(OR(EXACT(G3,"Active"),EXACT(G3,"Discontinued")),"Valid","Standardize"))</f>
        <v>Valid</v>
      </c>
      <c r="W3" t="str">
        <f t="shared" ref="W3:W16" si="6">IF(COUNTIF($A$2:$A$16,A3)&gt;1,"Review - Duplicate",IF(COUNTBLANK(A3:G3)&gt;0,"Review - Missing Data",IF(OR(Q3="Standardize",U3="Standardize",V3="Standardize"),"Review - Standardization","Clean")))</f>
        <v>Review - Duplicate</v>
      </c>
      <c r="Y3" s="12" t="s">
        <v>142</v>
      </c>
      <c r="Z3" s="12">
        <f>COUNTIF(W2:W16,"Review - Duplicate")</f>
        <v>2</v>
      </c>
      <c r="AA3" s="17">
        <f>Z3/Z2</f>
        <v>0.13333333333333333</v>
      </c>
    </row>
    <row r="4" spans="1:27" ht="41.4">
      <c r="A4" t="s">
        <v>45</v>
      </c>
      <c r="B4" t="s">
        <v>46</v>
      </c>
      <c r="C4" t="s">
        <v>36</v>
      </c>
      <c r="D4" t="s">
        <v>47</v>
      </c>
      <c r="E4" t="s">
        <v>48</v>
      </c>
      <c r="F4" s="6">
        <v>39.5</v>
      </c>
      <c r="G4" t="s">
        <v>39</v>
      </c>
      <c r="H4" s="8"/>
      <c r="I4" s="8"/>
      <c r="J4" s="8" t="str">
        <f t="shared" si="0"/>
        <v>Clean</v>
      </c>
      <c r="N4" t="str">
        <f t="shared" si="1"/>
        <v>Electronics</v>
      </c>
      <c r="O4" t="s">
        <v>78</v>
      </c>
      <c r="P4" t="s">
        <v>36</v>
      </c>
      <c r="Q4" t="str">
        <f t="shared" si="2"/>
        <v>Valid</v>
      </c>
      <c r="R4" t="str">
        <f t="shared" si="3"/>
        <v>Northstar</v>
      </c>
      <c r="S4" s="12" t="s">
        <v>48</v>
      </c>
      <c r="T4" s="12" t="s">
        <v>48</v>
      </c>
      <c r="U4" t="str">
        <f t="shared" si="4"/>
        <v>Valid</v>
      </c>
      <c r="V4" t="str">
        <f t="shared" si="5"/>
        <v>Valid</v>
      </c>
      <c r="W4" t="str">
        <f t="shared" si="6"/>
        <v>Clean</v>
      </c>
      <c r="Y4" s="12" t="s">
        <v>143</v>
      </c>
      <c r="Z4" s="12">
        <f>COUNTIF(W2:W16,"Review - Missing Data")</f>
        <v>3</v>
      </c>
      <c r="AA4" s="17">
        <f>Z4/Z2</f>
        <v>0.2</v>
      </c>
    </row>
    <row r="5" spans="1:27" ht="41.4">
      <c r="A5" t="s">
        <v>49</v>
      </c>
      <c r="B5" t="s">
        <v>50</v>
      </c>
      <c r="C5" t="s">
        <v>51</v>
      </c>
      <c r="D5" t="s">
        <v>52</v>
      </c>
      <c r="E5" t="s">
        <v>53</v>
      </c>
      <c r="F5" s="6">
        <v>7.99</v>
      </c>
      <c r="G5" t="s">
        <v>54</v>
      </c>
      <c r="H5" s="8"/>
      <c r="I5" s="8"/>
      <c r="J5" s="8" t="str">
        <f t="shared" si="0"/>
        <v>Clean</v>
      </c>
      <c r="N5" t="str">
        <f t="shared" si="1"/>
        <v>Office</v>
      </c>
      <c r="O5" t="s">
        <v>36</v>
      </c>
      <c r="P5" t="s">
        <v>36</v>
      </c>
      <c r="Q5" t="str">
        <f t="shared" si="2"/>
        <v>Valid</v>
      </c>
      <c r="R5" t="str">
        <f t="shared" si="3"/>
        <v>Paper Co.</v>
      </c>
      <c r="S5" s="12" t="s">
        <v>92</v>
      </c>
      <c r="T5" s="12" t="s">
        <v>48</v>
      </c>
      <c r="U5" t="str">
        <f t="shared" si="4"/>
        <v>Valid</v>
      </c>
      <c r="V5" t="str">
        <f t="shared" si="5"/>
        <v>Standardize</v>
      </c>
      <c r="W5" t="str">
        <f t="shared" si="6"/>
        <v>Review - Standardization</v>
      </c>
      <c r="Y5" s="12" t="s">
        <v>144</v>
      </c>
      <c r="Z5" s="12">
        <f>COUNTIF(W2:W16,"Review - Standardization")</f>
        <v>7</v>
      </c>
      <c r="AA5" s="17">
        <f>Z5/Z2</f>
        <v>0.46666666666666667</v>
      </c>
    </row>
    <row r="6" spans="1:27">
      <c r="A6" t="s">
        <v>55</v>
      </c>
      <c r="B6" t="s">
        <v>56</v>
      </c>
      <c r="C6" t="s">
        <v>57</v>
      </c>
      <c r="D6" t="s">
        <v>58</v>
      </c>
      <c r="E6" t="s">
        <v>59</v>
      </c>
      <c r="F6" s="6">
        <v>29</v>
      </c>
      <c r="H6" s="8"/>
      <c r="I6" s="8"/>
      <c r="J6" s="8" t="str">
        <f t="shared" si="0"/>
        <v>Needs Review - Missing Data</v>
      </c>
      <c r="N6" t="str">
        <f t="shared" si="1"/>
        <v>Home</v>
      </c>
      <c r="O6" t="s">
        <v>69</v>
      </c>
      <c r="P6" t="s">
        <v>51</v>
      </c>
      <c r="Q6" t="str">
        <f t="shared" si="2"/>
        <v>Valid</v>
      </c>
      <c r="R6" t="str">
        <f t="shared" si="3"/>
        <v>Bright Co</v>
      </c>
      <c r="S6" s="12" t="s">
        <v>80</v>
      </c>
      <c r="T6" s="12" t="s">
        <v>80</v>
      </c>
      <c r="U6" t="str">
        <f t="shared" si="4"/>
        <v>Valid</v>
      </c>
      <c r="V6" t="str">
        <f t="shared" si="5"/>
        <v>Missing</v>
      </c>
      <c r="W6" t="str">
        <f t="shared" si="6"/>
        <v>Review - Missing Data</v>
      </c>
      <c r="Y6" s="12" t="s">
        <v>100</v>
      </c>
      <c r="Z6" s="12">
        <f>COUNTIF(W2:W16,"Clean")</f>
        <v>3</v>
      </c>
      <c r="AA6" s="17">
        <f>Z6/Z2</f>
        <v>0.2</v>
      </c>
    </row>
    <row r="7" spans="1:27">
      <c r="A7" t="s">
        <v>60</v>
      </c>
      <c r="B7" t="s">
        <v>61</v>
      </c>
      <c r="C7" t="s">
        <v>62</v>
      </c>
      <c r="D7" t="s">
        <v>63</v>
      </c>
      <c r="E7" t="s">
        <v>48</v>
      </c>
      <c r="F7" s="6">
        <v>39.5</v>
      </c>
      <c r="G7" t="s">
        <v>39</v>
      </c>
      <c r="H7" s="8"/>
      <c r="I7" s="8"/>
      <c r="J7" s="8" t="str">
        <f t="shared" si="0"/>
        <v>Clean</v>
      </c>
      <c r="N7" t="str">
        <f t="shared" si="1"/>
        <v>Electronics</v>
      </c>
      <c r="O7" t="s">
        <v>51</v>
      </c>
      <c r="P7" t="s">
        <v>51</v>
      </c>
      <c r="Q7" t="str">
        <f t="shared" si="2"/>
        <v>Standardize</v>
      </c>
      <c r="R7" t="str">
        <f t="shared" si="3"/>
        <v>Northstar</v>
      </c>
      <c r="S7" s="12" t="s">
        <v>53</v>
      </c>
      <c r="T7" s="12" t="s">
        <v>53</v>
      </c>
      <c r="U7" t="str">
        <f t="shared" si="4"/>
        <v>Valid</v>
      </c>
      <c r="V7" t="str">
        <f t="shared" si="5"/>
        <v>Valid</v>
      </c>
      <c r="W7" t="str">
        <f t="shared" si="6"/>
        <v>Review - Standardization</v>
      </c>
    </row>
    <row r="8" spans="1:27">
      <c r="A8" t="s">
        <v>64</v>
      </c>
      <c r="B8" t="s">
        <v>65</v>
      </c>
      <c r="C8" t="s">
        <v>36</v>
      </c>
      <c r="E8" t="s">
        <v>66</v>
      </c>
      <c r="F8" s="6">
        <v>45</v>
      </c>
      <c r="G8" t="s">
        <v>39</v>
      </c>
      <c r="H8" s="8"/>
      <c r="I8" s="8"/>
      <c r="J8" s="8" t="str">
        <f t="shared" si="0"/>
        <v>Needs Review - Missing Data</v>
      </c>
      <c r="N8" t="str">
        <f t="shared" si="1"/>
        <v>Electronics</v>
      </c>
      <c r="O8" t="s">
        <v>89</v>
      </c>
      <c r="P8" t="s">
        <v>57</v>
      </c>
      <c r="Q8" t="str">
        <f t="shared" si="2"/>
        <v>Valid</v>
      </c>
      <c r="R8" t="str">
        <f t="shared" si="3"/>
        <v>Lift Lab</v>
      </c>
      <c r="S8" s="12" t="s">
        <v>59</v>
      </c>
      <c r="T8" s="12" t="s">
        <v>59</v>
      </c>
      <c r="U8" t="str">
        <f t="shared" si="4"/>
        <v>Valid</v>
      </c>
      <c r="V8" t="str">
        <f t="shared" si="5"/>
        <v>Valid</v>
      </c>
      <c r="W8" t="str">
        <f t="shared" si="6"/>
        <v>Review - Missing Data</v>
      </c>
    </row>
    <row r="9" spans="1:27">
      <c r="A9" t="s">
        <v>67</v>
      </c>
      <c r="B9" t="s">
        <v>68</v>
      </c>
      <c r="C9" t="s">
        <v>69</v>
      </c>
      <c r="D9" t="s">
        <v>37</v>
      </c>
      <c r="E9" t="s">
        <v>53</v>
      </c>
      <c r="F9" s="6">
        <v>12.5</v>
      </c>
      <c r="G9" t="s">
        <v>70</v>
      </c>
      <c r="H9" s="8"/>
      <c r="I9" s="8"/>
      <c r="J9" s="8" t="str">
        <f t="shared" si="0"/>
        <v>Clean</v>
      </c>
      <c r="N9" t="str">
        <f t="shared" si="1"/>
        <v>Office</v>
      </c>
      <c r="O9" t="s">
        <v>57</v>
      </c>
      <c r="P9" t="s">
        <v>57</v>
      </c>
      <c r="Q9" t="str">
        <f t="shared" si="2"/>
        <v>Standardize</v>
      </c>
      <c r="R9" t="str">
        <f t="shared" si="3"/>
        <v>Paper Co.</v>
      </c>
      <c r="S9" s="12" t="s">
        <v>66</v>
      </c>
      <c r="T9" s="12" t="s">
        <v>66</v>
      </c>
      <c r="U9" t="str">
        <f t="shared" si="4"/>
        <v>Valid</v>
      </c>
      <c r="V9" t="str">
        <f t="shared" si="5"/>
        <v>Valid</v>
      </c>
      <c r="W9" t="str">
        <f t="shared" si="6"/>
        <v>Review - Standardization</v>
      </c>
    </row>
    <row r="10" spans="1:27">
      <c r="A10" t="s">
        <v>71</v>
      </c>
      <c r="B10" t="s">
        <v>72</v>
      </c>
      <c r="C10" t="s">
        <v>57</v>
      </c>
      <c r="D10" t="s">
        <v>58</v>
      </c>
      <c r="E10" t="s">
        <v>59</v>
      </c>
      <c r="F10" s="6">
        <v>29</v>
      </c>
      <c r="G10" t="s">
        <v>39</v>
      </c>
      <c r="H10" s="8"/>
      <c r="I10" s="8"/>
      <c r="J10" s="8" t="str">
        <f t="shared" si="0"/>
        <v>Clean</v>
      </c>
      <c r="N10" t="str">
        <f t="shared" si="1"/>
        <v>Home</v>
      </c>
      <c r="Q10" t="str">
        <f t="shared" si="2"/>
        <v>Valid</v>
      </c>
      <c r="R10" t="str">
        <f t="shared" si="3"/>
        <v>Bright Co</v>
      </c>
      <c r="U10" t="str">
        <f t="shared" si="4"/>
        <v>Valid</v>
      </c>
      <c r="V10" t="str">
        <f t="shared" si="5"/>
        <v>Valid</v>
      </c>
      <c r="W10" t="str">
        <f t="shared" si="6"/>
        <v>Clean</v>
      </c>
    </row>
    <row r="11" spans="1:27">
      <c r="A11" t="s">
        <v>73</v>
      </c>
      <c r="B11" t="s">
        <v>74</v>
      </c>
      <c r="C11" t="s">
        <v>51</v>
      </c>
      <c r="D11" t="s">
        <v>75</v>
      </c>
      <c r="E11" t="s">
        <v>53</v>
      </c>
      <c r="F11" s="6"/>
      <c r="G11" t="s">
        <v>39</v>
      </c>
      <c r="H11" s="8"/>
      <c r="I11" s="8"/>
      <c r="J11" s="8" t="str">
        <f t="shared" si="0"/>
        <v>Needs Review - Missing Data</v>
      </c>
      <c r="N11" t="str">
        <f t="shared" si="1"/>
        <v>Office</v>
      </c>
      <c r="Q11" t="str">
        <f t="shared" si="2"/>
        <v>Valid</v>
      </c>
      <c r="R11" t="str">
        <f t="shared" si="3"/>
        <v>Paper Co.</v>
      </c>
      <c r="U11" t="str">
        <f t="shared" si="4"/>
        <v>Valid</v>
      </c>
      <c r="V11" t="str">
        <f t="shared" si="5"/>
        <v>Valid</v>
      </c>
      <c r="W11" t="str">
        <f t="shared" si="6"/>
        <v>Review - Missing Data</v>
      </c>
    </row>
    <row r="12" spans="1:27">
      <c r="A12" t="s">
        <v>76</v>
      </c>
      <c r="B12" t="s">
        <v>77</v>
      </c>
      <c r="C12" t="s">
        <v>78</v>
      </c>
      <c r="D12" t="s">
        <v>79</v>
      </c>
      <c r="E12" t="s">
        <v>80</v>
      </c>
      <c r="F12" s="6">
        <v>54.99</v>
      </c>
      <c r="G12" t="s">
        <v>81</v>
      </c>
      <c r="H12" s="8"/>
      <c r="I12" s="8"/>
      <c r="J12" s="8" t="str">
        <f t="shared" si="0"/>
        <v>Clean</v>
      </c>
      <c r="N12" t="str">
        <f t="shared" si="1"/>
        <v>Electronics</v>
      </c>
      <c r="Q12" t="str">
        <f t="shared" si="2"/>
        <v>Standardize</v>
      </c>
      <c r="R12" t="str">
        <f t="shared" si="3"/>
        <v>VisionTek</v>
      </c>
      <c r="U12" t="str">
        <f t="shared" si="4"/>
        <v>Valid</v>
      </c>
      <c r="V12" t="str">
        <f t="shared" si="5"/>
        <v>Standardize</v>
      </c>
      <c r="W12" t="str">
        <f t="shared" si="6"/>
        <v>Review - Standardization</v>
      </c>
    </row>
    <row r="13" spans="1:27">
      <c r="A13" t="s">
        <v>82</v>
      </c>
      <c r="B13" t="s">
        <v>83</v>
      </c>
      <c r="C13" t="s">
        <v>36</v>
      </c>
      <c r="D13" t="s">
        <v>37</v>
      </c>
      <c r="E13" t="s">
        <v>38</v>
      </c>
      <c r="F13" s="6">
        <v>32</v>
      </c>
      <c r="G13" t="s">
        <v>39</v>
      </c>
      <c r="H13" s="8"/>
      <c r="I13" s="8"/>
      <c r="J13" s="8" t="str">
        <f t="shared" si="0"/>
        <v>Clean</v>
      </c>
      <c r="N13" t="str">
        <f t="shared" si="1"/>
        <v>Electronics</v>
      </c>
      <c r="Q13" t="str">
        <f t="shared" si="2"/>
        <v>Valid</v>
      </c>
      <c r="R13" t="str">
        <f t="shared" si="3"/>
        <v>Acme</v>
      </c>
      <c r="U13" t="str">
        <f t="shared" si="4"/>
        <v>Standardize</v>
      </c>
      <c r="V13" t="str">
        <f t="shared" si="5"/>
        <v>Valid</v>
      </c>
      <c r="W13" t="str">
        <f t="shared" si="6"/>
        <v>Review - Standardization</v>
      </c>
    </row>
    <row r="14" spans="1:27">
      <c r="A14" t="s">
        <v>84</v>
      </c>
      <c r="B14" t="s">
        <v>85</v>
      </c>
      <c r="C14" t="s">
        <v>51</v>
      </c>
      <c r="D14" t="s">
        <v>86</v>
      </c>
      <c r="E14" t="s">
        <v>53</v>
      </c>
      <c r="F14" s="6">
        <v>6</v>
      </c>
      <c r="G14" t="s">
        <v>39</v>
      </c>
      <c r="H14" s="8"/>
      <c r="I14" s="8"/>
      <c r="J14" s="8" t="str">
        <f t="shared" si="0"/>
        <v>Clean</v>
      </c>
      <c r="N14" t="str">
        <f t="shared" si="1"/>
        <v>Office</v>
      </c>
      <c r="Q14" t="str">
        <f t="shared" si="2"/>
        <v>Valid</v>
      </c>
      <c r="R14" t="str">
        <f t="shared" si="3"/>
        <v>Paper Co.</v>
      </c>
      <c r="U14" t="str">
        <f t="shared" si="4"/>
        <v>Valid</v>
      </c>
      <c r="V14" t="str">
        <f t="shared" si="5"/>
        <v>Valid</v>
      </c>
      <c r="W14" t="str">
        <f t="shared" si="6"/>
        <v>Clean</v>
      </c>
    </row>
    <row r="15" spans="1:27">
      <c r="A15" t="s">
        <v>87</v>
      </c>
      <c r="B15" t="s">
        <v>88</v>
      </c>
      <c r="C15" t="s">
        <v>89</v>
      </c>
      <c r="D15" t="s">
        <v>58</v>
      </c>
      <c r="E15" t="s">
        <v>59</v>
      </c>
      <c r="F15" s="6">
        <v>19.5</v>
      </c>
      <c r="G15" t="s">
        <v>54</v>
      </c>
      <c r="H15" s="8"/>
      <c r="I15" s="8"/>
      <c r="J15" s="8" t="str">
        <f t="shared" si="0"/>
        <v>Clean</v>
      </c>
      <c r="N15" t="str">
        <f t="shared" si="1"/>
        <v>Home</v>
      </c>
      <c r="Q15" t="str">
        <f t="shared" si="2"/>
        <v>Standardize</v>
      </c>
      <c r="R15" t="str">
        <f t="shared" si="3"/>
        <v>Bright Co</v>
      </c>
      <c r="U15" t="str">
        <f t="shared" si="4"/>
        <v>Valid</v>
      </c>
      <c r="V15" t="str">
        <f t="shared" si="5"/>
        <v>Standardize</v>
      </c>
      <c r="W15" t="str">
        <f t="shared" si="6"/>
        <v>Review - Standardization</v>
      </c>
    </row>
    <row r="16" spans="1:27">
      <c r="A16" t="s">
        <v>90</v>
      </c>
      <c r="B16" t="s">
        <v>91</v>
      </c>
      <c r="C16" t="s">
        <v>36</v>
      </c>
      <c r="D16" t="s">
        <v>37</v>
      </c>
      <c r="E16" t="s">
        <v>92</v>
      </c>
      <c r="F16" s="6">
        <v>11</v>
      </c>
      <c r="G16" t="s">
        <v>39</v>
      </c>
      <c r="H16" s="8"/>
      <c r="I16" s="8"/>
      <c r="J16" s="8" t="str">
        <f t="shared" si="0"/>
        <v>Clean</v>
      </c>
      <c r="N16" t="str">
        <f t="shared" si="1"/>
        <v>Electronics</v>
      </c>
      <c r="Q16" t="str">
        <f t="shared" si="2"/>
        <v>Valid</v>
      </c>
      <c r="R16" t="str">
        <f t="shared" si="3"/>
        <v>Northstar</v>
      </c>
      <c r="U16" t="str">
        <f t="shared" si="4"/>
        <v>Standardize</v>
      </c>
      <c r="V16" t="str">
        <f t="shared" si="5"/>
        <v>Valid</v>
      </c>
      <c r="W16" t="str">
        <f t="shared" si="6"/>
        <v>Review - Standardization</v>
      </c>
    </row>
  </sheetData>
  <autoFilter ref="A1:J1"/>
  <conditionalFormatting sqref="A2:A16">
    <cfRule type="duplicateValues" dxfId="3" priority="1"/>
    <cfRule type="duplicateValues" dxfId="2" priority="2"/>
  </conditionalFormatting>
  <dataValidations count="1">
    <dataValidation type="list" sqref="J2:J16">
      <formula1>"Not Reviewed,Clean,Needs Review"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59999389629810485"/>
  </sheetPr>
  <dimension ref="A1:F17"/>
  <sheetViews>
    <sheetView workbookViewId="0">
      <selection sqref="A1:F1"/>
    </sheetView>
  </sheetViews>
  <sheetFormatPr defaultRowHeight="13.8"/>
  <cols>
    <col min="1" max="1" width="25" customWidth="1"/>
    <col min="2" max="2" width="88" customWidth="1"/>
  </cols>
  <sheetData>
    <row r="1" spans="1:6" ht="25.65" customHeight="1">
      <c r="A1" s="18" t="s">
        <v>0</v>
      </c>
      <c r="B1" s="18"/>
      <c r="C1" s="18"/>
      <c r="D1" s="18"/>
      <c r="E1" s="18"/>
      <c r="F1" s="18"/>
    </row>
    <row r="3" spans="1:6">
      <c r="A3" s="1" t="s">
        <v>1</v>
      </c>
      <c r="B3" s="2" t="s">
        <v>2</v>
      </c>
    </row>
    <row r="4" spans="1:6">
      <c r="A4" s="1" t="s">
        <v>3</v>
      </c>
      <c r="B4" s="2" t="s">
        <v>4</v>
      </c>
    </row>
    <row r="5" spans="1:6">
      <c r="A5" s="1" t="s">
        <v>5</v>
      </c>
      <c r="B5" s="2" t="s">
        <v>6</v>
      </c>
    </row>
    <row r="6" spans="1:6">
      <c r="A6" s="1" t="s">
        <v>7</v>
      </c>
      <c r="B6" s="2" t="s">
        <v>8</v>
      </c>
    </row>
    <row r="7" spans="1:6" ht="27.6">
      <c r="A7" s="1" t="s">
        <v>9</v>
      </c>
      <c r="B7" s="2" t="s">
        <v>10</v>
      </c>
    </row>
    <row r="10" spans="1:6">
      <c r="A10" s="3" t="s">
        <v>11</v>
      </c>
      <c r="B10" s="3" t="s">
        <v>12</v>
      </c>
    </row>
    <row r="11" spans="1:6">
      <c r="A11" s="4" t="s">
        <v>13</v>
      </c>
      <c r="B11" s="2" t="s">
        <v>14</v>
      </c>
    </row>
    <row r="12" spans="1:6">
      <c r="A12" s="4" t="s">
        <v>15</v>
      </c>
      <c r="B12" s="2" t="s">
        <v>16</v>
      </c>
    </row>
    <row r="13" spans="1:6">
      <c r="A13" s="4" t="s">
        <v>17</v>
      </c>
      <c r="B13" s="2" t="s">
        <v>18</v>
      </c>
    </row>
    <row r="14" spans="1:6">
      <c r="A14" s="4" t="s">
        <v>19</v>
      </c>
      <c r="B14" s="2" t="s">
        <v>20</v>
      </c>
    </row>
    <row r="15" spans="1:6">
      <c r="A15" s="4" t="s">
        <v>21</v>
      </c>
      <c r="B15" s="2" t="s">
        <v>22</v>
      </c>
    </row>
    <row r="16" spans="1:6">
      <c r="A16" s="4" t="s">
        <v>23</v>
      </c>
      <c r="B16" s="2" t="s">
        <v>24</v>
      </c>
    </row>
    <row r="17" spans="1:2">
      <c r="A17" s="4" t="s">
        <v>25</v>
      </c>
      <c r="B17" s="2" t="s">
        <v>26</v>
      </c>
    </row>
  </sheetData>
  <mergeCells count="1">
    <mergeCell ref="A1:F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14999847407452621"/>
  </sheetPr>
  <dimension ref="A1:M15"/>
  <sheetViews>
    <sheetView workbookViewId="0"/>
  </sheetViews>
  <sheetFormatPr defaultRowHeight="13.8"/>
  <cols>
    <col min="1" max="1" width="16" customWidth="1"/>
    <col min="2" max="2" width="26" customWidth="1"/>
    <col min="3" max="3" width="18" customWidth="1"/>
    <col min="4" max="4" width="14" customWidth="1"/>
    <col min="5" max="5" width="20" customWidth="1"/>
    <col min="6" max="6" width="16" customWidth="1"/>
    <col min="7" max="7" width="18" customWidth="1"/>
    <col min="8" max="8" width="30" customWidth="1"/>
    <col min="9" max="9" width="40" customWidth="1"/>
    <col min="10" max="10" width="18" customWidth="1"/>
    <col min="12" max="13" width="28" customWidth="1"/>
  </cols>
  <sheetData>
    <row r="1" spans="1:13" ht="22.35" customHeight="1">
      <c r="A1" s="10" t="s">
        <v>27</v>
      </c>
      <c r="B1" s="10" t="s">
        <v>28</v>
      </c>
      <c r="C1" s="10" t="s">
        <v>29</v>
      </c>
      <c r="D1" s="10" t="s">
        <v>30</v>
      </c>
      <c r="E1" s="10" t="s">
        <v>31</v>
      </c>
      <c r="F1" s="10" t="s">
        <v>32</v>
      </c>
      <c r="G1" s="10" t="s">
        <v>33</v>
      </c>
      <c r="H1" s="10" t="s">
        <v>93</v>
      </c>
      <c r="I1" s="10" t="s">
        <v>94</v>
      </c>
      <c r="J1" s="10" t="s">
        <v>95</v>
      </c>
      <c r="L1" s="9" t="s">
        <v>96</v>
      </c>
      <c r="M1" s="9" t="s">
        <v>97</v>
      </c>
    </row>
    <row r="2" spans="1:13" ht="27.6">
      <c r="A2" t="s">
        <v>34</v>
      </c>
      <c r="B2" t="s">
        <v>35</v>
      </c>
      <c r="C2" t="s">
        <v>36</v>
      </c>
      <c r="D2" t="s">
        <v>37</v>
      </c>
      <c r="E2" t="s">
        <v>44</v>
      </c>
      <c r="F2" s="6">
        <v>24.99</v>
      </c>
      <c r="G2" t="s">
        <v>39</v>
      </c>
      <c r="H2" s="2" t="s">
        <v>98</v>
      </c>
      <c r="I2" s="2" t="s">
        <v>99</v>
      </c>
      <c r="J2" s="2" t="s">
        <v>100</v>
      </c>
      <c r="L2" t="s">
        <v>101</v>
      </c>
      <c r="M2">
        <v>14</v>
      </c>
    </row>
    <row r="3" spans="1:13">
      <c r="A3" t="s">
        <v>45</v>
      </c>
      <c r="B3" t="s">
        <v>46</v>
      </c>
      <c r="C3" t="s">
        <v>36</v>
      </c>
      <c r="D3" t="s">
        <v>47</v>
      </c>
      <c r="E3" t="s">
        <v>48</v>
      </c>
      <c r="F3" s="6">
        <v>39.5</v>
      </c>
      <c r="G3" t="s">
        <v>39</v>
      </c>
      <c r="H3" s="2" t="s">
        <v>102</v>
      </c>
      <c r="I3" s="2" t="s">
        <v>103</v>
      </c>
      <c r="J3" s="2" t="s">
        <v>100</v>
      </c>
      <c r="L3" t="s">
        <v>104</v>
      </c>
      <c r="M3">
        <v>3</v>
      </c>
    </row>
    <row r="4" spans="1:13">
      <c r="A4" t="s">
        <v>49</v>
      </c>
      <c r="B4" t="s">
        <v>50</v>
      </c>
      <c r="C4" t="s">
        <v>51</v>
      </c>
      <c r="D4" t="s">
        <v>52</v>
      </c>
      <c r="E4" t="s">
        <v>53</v>
      </c>
      <c r="F4" s="6">
        <v>7.99</v>
      </c>
      <c r="G4" t="s">
        <v>39</v>
      </c>
      <c r="H4" s="2" t="s">
        <v>105</v>
      </c>
      <c r="I4" s="2" t="s">
        <v>106</v>
      </c>
      <c r="J4" s="2" t="s">
        <v>100</v>
      </c>
      <c r="L4" t="s">
        <v>107</v>
      </c>
      <c r="M4">
        <v>1</v>
      </c>
    </row>
    <row r="5" spans="1:13">
      <c r="A5" t="s">
        <v>55</v>
      </c>
      <c r="B5" t="s">
        <v>56</v>
      </c>
      <c r="C5" t="s">
        <v>57</v>
      </c>
      <c r="D5" t="s">
        <v>58</v>
      </c>
      <c r="E5" t="s">
        <v>59</v>
      </c>
      <c r="F5" s="6">
        <v>29</v>
      </c>
      <c r="G5" t="s">
        <v>108</v>
      </c>
      <c r="H5" s="2" t="s">
        <v>109</v>
      </c>
      <c r="I5" s="2" t="s">
        <v>110</v>
      </c>
      <c r="J5" s="2" t="s">
        <v>104</v>
      </c>
      <c r="L5" t="s">
        <v>111</v>
      </c>
      <c r="M5" t="s">
        <v>112</v>
      </c>
    </row>
    <row r="6" spans="1:13">
      <c r="A6" t="s">
        <v>60</v>
      </c>
      <c r="B6" t="s">
        <v>46</v>
      </c>
      <c r="C6" t="s">
        <v>36</v>
      </c>
      <c r="D6" t="s">
        <v>63</v>
      </c>
      <c r="E6" t="s">
        <v>48</v>
      </c>
      <c r="F6" s="6">
        <v>39.5</v>
      </c>
      <c r="G6" t="s">
        <v>39</v>
      </c>
      <c r="H6" s="2" t="s">
        <v>113</v>
      </c>
      <c r="I6" s="2" t="s">
        <v>114</v>
      </c>
      <c r="J6" s="2" t="s">
        <v>100</v>
      </c>
    </row>
    <row r="7" spans="1:13">
      <c r="A7" t="s">
        <v>64</v>
      </c>
      <c r="B7" t="s">
        <v>65</v>
      </c>
      <c r="C7" t="s">
        <v>36</v>
      </c>
      <c r="E7" t="s">
        <v>66</v>
      </c>
      <c r="F7" s="6">
        <v>45</v>
      </c>
      <c r="G7" t="s">
        <v>39</v>
      </c>
      <c r="H7" s="2" t="s">
        <v>115</v>
      </c>
      <c r="I7" s="2" t="s">
        <v>110</v>
      </c>
      <c r="J7" s="2" t="s">
        <v>104</v>
      </c>
    </row>
    <row r="8" spans="1:13">
      <c r="A8" t="s">
        <v>67</v>
      </c>
      <c r="B8" t="s">
        <v>68</v>
      </c>
      <c r="C8" t="s">
        <v>51</v>
      </c>
      <c r="D8" t="s">
        <v>37</v>
      </c>
      <c r="E8" t="s">
        <v>53</v>
      </c>
      <c r="F8" s="6">
        <v>12.5</v>
      </c>
      <c r="G8" t="s">
        <v>70</v>
      </c>
      <c r="H8" s="2" t="s">
        <v>116</v>
      </c>
      <c r="I8" s="2" t="s">
        <v>117</v>
      </c>
      <c r="J8" s="2" t="s">
        <v>100</v>
      </c>
    </row>
    <row r="9" spans="1:13">
      <c r="A9" t="s">
        <v>71</v>
      </c>
      <c r="B9" t="s">
        <v>72</v>
      </c>
      <c r="C9" t="s">
        <v>57</v>
      </c>
      <c r="D9" t="s">
        <v>58</v>
      </c>
      <c r="E9" t="s">
        <v>59</v>
      </c>
      <c r="F9" s="6">
        <v>29</v>
      </c>
      <c r="G9" t="s">
        <v>39</v>
      </c>
      <c r="H9" s="2" t="s">
        <v>102</v>
      </c>
      <c r="I9" s="2" t="s">
        <v>103</v>
      </c>
      <c r="J9" s="2" t="s">
        <v>100</v>
      </c>
    </row>
    <row r="10" spans="1:13">
      <c r="A10" t="s">
        <v>73</v>
      </c>
      <c r="B10" t="s">
        <v>74</v>
      </c>
      <c r="C10" t="s">
        <v>51</v>
      </c>
      <c r="D10" t="s">
        <v>75</v>
      </c>
      <c r="E10" t="s">
        <v>53</v>
      </c>
      <c r="F10" s="6"/>
      <c r="G10" t="s">
        <v>39</v>
      </c>
      <c r="H10" s="2" t="s">
        <v>118</v>
      </c>
      <c r="I10" s="2" t="s">
        <v>110</v>
      </c>
      <c r="J10" s="2" t="s">
        <v>104</v>
      </c>
    </row>
    <row r="11" spans="1:13">
      <c r="A11" t="s">
        <v>76</v>
      </c>
      <c r="B11" t="s">
        <v>77</v>
      </c>
      <c r="C11" t="s">
        <v>36</v>
      </c>
      <c r="D11" t="s">
        <v>37</v>
      </c>
      <c r="E11" t="s">
        <v>80</v>
      </c>
      <c r="F11" s="6">
        <v>54.99</v>
      </c>
      <c r="G11" t="s">
        <v>39</v>
      </c>
      <c r="H11" s="2" t="s">
        <v>119</v>
      </c>
      <c r="I11" s="2" t="s">
        <v>120</v>
      </c>
      <c r="J11" s="2" t="s">
        <v>100</v>
      </c>
    </row>
    <row r="12" spans="1:13">
      <c r="A12" t="s">
        <v>82</v>
      </c>
      <c r="B12" t="s">
        <v>83</v>
      </c>
      <c r="C12" t="s">
        <v>36</v>
      </c>
      <c r="D12" t="s">
        <v>37</v>
      </c>
      <c r="E12" t="s">
        <v>44</v>
      </c>
      <c r="F12" s="6">
        <v>32</v>
      </c>
      <c r="G12" t="s">
        <v>39</v>
      </c>
      <c r="H12" s="2" t="s">
        <v>121</v>
      </c>
      <c r="I12" s="2" t="s">
        <v>122</v>
      </c>
      <c r="J12" s="2" t="s">
        <v>100</v>
      </c>
    </row>
    <row r="13" spans="1:13">
      <c r="A13" t="s">
        <v>84</v>
      </c>
      <c r="B13" t="s">
        <v>85</v>
      </c>
      <c r="C13" t="s">
        <v>51</v>
      </c>
      <c r="D13" t="s">
        <v>52</v>
      </c>
      <c r="E13" t="s">
        <v>53</v>
      </c>
      <c r="F13" s="6">
        <v>6</v>
      </c>
      <c r="G13" t="s">
        <v>39</v>
      </c>
      <c r="H13" s="2" t="s">
        <v>123</v>
      </c>
      <c r="I13" s="2" t="s">
        <v>124</v>
      </c>
      <c r="J13" s="2" t="s">
        <v>100</v>
      </c>
    </row>
    <row r="14" spans="1:13">
      <c r="A14" t="s">
        <v>87</v>
      </c>
      <c r="B14" t="s">
        <v>88</v>
      </c>
      <c r="C14" t="s">
        <v>57</v>
      </c>
      <c r="D14" t="s">
        <v>58</v>
      </c>
      <c r="E14" t="s">
        <v>59</v>
      </c>
      <c r="F14" s="6">
        <v>19.5</v>
      </c>
      <c r="G14" t="s">
        <v>39</v>
      </c>
      <c r="H14" s="2" t="s">
        <v>125</v>
      </c>
      <c r="I14" s="2" t="s">
        <v>126</v>
      </c>
      <c r="J14" s="2" t="s">
        <v>100</v>
      </c>
    </row>
    <row r="15" spans="1:13">
      <c r="A15" t="s">
        <v>90</v>
      </c>
      <c r="B15" t="s">
        <v>91</v>
      </c>
      <c r="C15" t="s">
        <v>36</v>
      </c>
      <c r="D15" t="s">
        <v>37</v>
      </c>
      <c r="E15" t="s">
        <v>48</v>
      </c>
      <c r="F15" s="6">
        <v>11</v>
      </c>
      <c r="G15" t="s">
        <v>39</v>
      </c>
      <c r="H15" s="2" t="s">
        <v>127</v>
      </c>
      <c r="I15" s="2" t="s">
        <v>122</v>
      </c>
      <c r="J15" s="2" t="s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Clean Master Data</vt:lpstr>
      <vt:lpstr>Review Queue</vt:lpstr>
      <vt:lpstr>Exception Log</vt:lpstr>
      <vt:lpstr>Raw Product Data</vt:lpstr>
      <vt:lpstr>YOUR PRACTICE</vt:lpstr>
      <vt:lpstr>START HERE</vt:lpstr>
      <vt:lpstr>ANSWER KEY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Noman Ahmad</dc:creator>
  <cp:lastModifiedBy>Noman Ahmad</cp:lastModifiedBy>
  <dcterms:created xsi:type="dcterms:W3CDTF">2026-09-29T04:00:13Z</dcterms:created>
  <dcterms:modified xsi:type="dcterms:W3CDTF">2026-10-27T21:55:40Z</dcterms:modified>
</cp:coreProperties>
</file>